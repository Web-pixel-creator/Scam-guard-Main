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3f9f92fd33440f3" /></Relationships>
</file>

<file path=xl/workbook.xml><?xml version="1.0" encoding="utf-8"?>
<x:workbook xmlns:x="http://schemas.openxmlformats.org/spreadsheetml/2006/main">
  <x:sheets>
    <x:sheet xmlns:r="http://schemas.openxmlformats.org/officeDocument/2006/relationships" name="Status Summary" sheetId="1" r:id="Rfeaee7bc0b834e28"/>
    <x:sheet xmlns:r="http://schemas.openxmlformats.org/officeDocument/2006/relationships" name="Tracker" sheetId="2" r:id="Re16c2e8b86334408"/>
    <x:sheet xmlns:r="http://schemas.openxmlformats.org/officeDocument/2006/relationships" name="Security Findings" sheetId="3" r:id="Rae58f0db205947e3"/>
    <x:sheet xmlns:r="http://schemas.openxmlformats.org/officeDocument/2006/relationships" name="Test Queue" sheetId="4" r:id="R39b958761c7c45c5"/>
    <x:sheet xmlns:r="http://schemas.openxmlformats.org/officeDocument/2006/relationships" name="Test Errors" sheetId="5" r:id="R6e0747c5cee848a0"/>
    <x:sheet xmlns:r="http://schemas.openxmlformats.org/officeDocument/2006/relationships" name="QA Runs" sheetId="6" r:id="R4991b91a2c7e4b1a"/>
    <x:sheet xmlns:r="http://schemas.openxmlformats.org/officeDocument/2006/relationships" name="Release Gates" sheetId="7" r:id="R850055f2750f4ce8"/>
    <x:sheet xmlns:r="http://schemas.openxmlformats.org/officeDocument/2006/relationships" name="Current Security Queue" sheetId="8" r:id="Rcee7bd7e590f466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187">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094">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cellXfs>
  <x:cellStyles count="1">
    <x:cellStyle name="Normal" xfId="0"/>
  </x:cellStyles>
  <x:dxfs count="357">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db8ed5798a54570" /><Relationship Type="http://schemas.openxmlformats.org/officeDocument/2006/relationships/theme" Target="/xl/theme/theme1.xml" Id="Rbb43876aa66b4b73" /><Relationship Type="http://schemas.openxmlformats.org/officeDocument/2006/relationships/sharedStrings" Target="/xl/sharedStrings.xml" Id="R772e220ed62a4bf6" /><Relationship Type="http://schemas.openxmlformats.org/officeDocument/2006/relationships/worksheet" Target="/xl/worksheets/sheet1.xml" Id="Rfeaee7bc0b834e28" /><Relationship Type="http://schemas.openxmlformats.org/officeDocument/2006/relationships/worksheet" Target="/xl/worksheets/sheet2.xml" Id="Re16c2e8b86334408" /><Relationship Type="http://schemas.openxmlformats.org/officeDocument/2006/relationships/worksheet" Target="/xl/worksheets/sheet3.xml" Id="Rae58f0db205947e3" /><Relationship Type="http://schemas.openxmlformats.org/officeDocument/2006/relationships/worksheet" Target="/xl/worksheets/sheet4.xml" Id="R39b958761c7c45c5" /><Relationship Type="http://schemas.openxmlformats.org/officeDocument/2006/relationships/worksheet" Target="/xl/worksheets/sheet5.xml" Id="R6e0747c5cee848a0" /><Relationship Type="http://schemas.openxmlformats.org/officeDocument/2006/relationships/worksheet" Target="/xl/worksheets/sheet6.xml" Id="R4991b91a2c7e4b1a" /><Relationship Type="http://schemas.openxmlformats.org/officeDocument/2006/relationships/worksheet" Target="/xl/worksheets/sheet7.xml" Id="R850055f2750f4ce8" /><Relationship Type="http://schemas.openxmlformats.org/officeDocument/2006/relationships/worksheet" Target="/xl/worksheets/sheet8.xml" Id="Rcee7bd7e590f466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073" t="str">
        <x:v>Generated</x:v>
      </x:c>
      <x:c r="B1" s="1074" t="str">
        <x:v>Feature rows</x:v>
      </x:c>
      <x:c r="C1" s="1074" t="str">
        <x:v>Current security items</x:v>
      </x:c>
      <x:c r="D1" s="1074" t="str">
        <x:v>Next phase</x:v>
      </x:c>
      <x:c r="E1" s="1075" t="str">
        <x:v>Owner note</x:v>
      </x:c>
    </x:row>
    <x:row r="2" ht="72" customHeight="1">
      <x:c r="A2" s="1091" t="n">
        <x:v>46214</x:v>
      </x:c>
      <x:c r="B2" s="1092" t="n">
        <x:f>COUNTA('Tracker'!$A$2:$A$200)</x:f>
        <x:v>73</x:v>
      </x:c>
      <x:c r="C2" s="1092" t="n">
        <x:f>COUNTA('Current Security Queue'!$A$2:$A$200)</x:f>
        <x:v>20</x:v>
      </x:c>
      <x:c r="D2" s="1092" t="str">
        <x:v>Gate 2/3: build a polling-compatible synthetic update QA harness; run real-client Inline RU/UZ/EN, multi-turn dialogue, provider compatibility and resource-soak matrices; close remaining deployed findings and enable leaked-password protection.</x:v>
      </x:c>
      <x:c r="E2" s="1092" t="str">
        <x:v>Production release 6fb71ec8 is live: three migrations applied, no-drop polling cutover complete, restart/re-election proof passed, monitor/web/security/Family Shield smoke passed. BOT-001/BOT-004 and real-client Inline/provider/soak evidence remain incomplete.</x:v>
      </x:c>
    </x:row>
    <x:row r="3" ht="22" customHeight="1">
      <x:c r="A3" s="629"/>
      <x:c r="B3" s="629"/>
      <x:c r="C3" s="629"/>
      <x:c r="D3" s="629"/>
      <x:c r="E3" s="629"/>
    </x:row>
    <x:row r="4" ht="26" customHeight="1">
      <x:c r="A4" s="1093" t="str">
        <x:v>Feature Status</x:v>
      </x:c>
      <x:c r="B4" s="1093" t="str">
        <x:v>Count</x:v>
      </x:c>
      <x:c r="C4" s="1093"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093" t="str">
        <x:v>Release Priority</x:v>
      </x:c>
      <x:c r="B9" s="1093" t="str">
        <x:v>Meaning</x:v>
      </x:c>
      <x:c r="C9" s="1093" t="str">
        <x:v>Count</x:v>
      </x:c>
      <x:c r="D9" s="1093"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11</x:v>
      </x:c>
      <x:c r="D11" s="629" t="n">
        <x:v>2</x:v>
      </x:c>
      <x:c r="E11" s="629"/>
    </x:row>
    <x:row r="12" ht="22" customHeight="1">
      <x:c r="A12" s="629" t="str">
        <x:v>P2</x:v>
      </x:c>
      <x:c r="B12" s="629" t="str">
        <x:v>Operational/privacy hardening</x:v>
      </x:c>
      <x:c r="C12" s="629" t="n">
        <x:f>COUNTIF('Release Gates'!$C$2:$C$200,A12)</x:f>
        <x:v>5</x:v>
      </x:c>
      <x:c r="D12" s="629" t="n">
        <x:v>3</x:v>
      </x:c>
      <x:c r="E12" s="629"/>
    </x:row>
    <x:row r="13" ht="22" customHeight="1">
      <x:c r="A13" s="629" t="str">
        <x:v>P3</x:v>
      </x:c>
      <x:c r="B13" s="629" t="str">
        <x:v>Post-gate polish</x:v>
      </x:c>
      <x:c r="C13" s="629" t="n">
        <x:f>COUNTIF('Release Gates'!$C$2:$C$200,A13)</x:f>
        <x:v>0</x:v>
      </x:c>
      <x:c r="D13" s="629" t="n">
        <x:v>4</x:v>
      </x:c>
      <x:c r="E13" s="629"/>
    </x:row>
    <x:row r="14" ht="22" customHeight="1">
      <x:c r="A14" s="629"/>
      <x:c r="B14" s="629"/>
      <x:c r="C14" s="629"/>
      <x:c r="D14" s="629"/>
      <x:c r="E14" s="629"/>
    </x:row>
    <x:row r="15" ht="26" customHeight="1">
      <x:c r="A15" s="1093" t="str">
        <x:v>Current Security Status</x:v>
      </x:c>
      <x:c r="B15" s="1093" t="str">
        <x:v>Count</x:v>
      </x:c>
      <x:c r="C15" s="1093"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0</x:v>
      </x:c>
      <x:c r="C17" s="629" t="str">
        <x:v>Implementation is underway.</x:v>
      </x:c>
      <x:c r="D17" s="629"/>
      <x:c r="E17" s="629"/>
    </x:row>
    <x:row r="18" ht="22" customHeight="1">
      <x:c r="A18" s="629" t="str">
        <x:v>Deployed / Awaiting Live Verification</x:v>
      </x:c>
      <x:c r="B18" s="629" t="n">
        <x:f>COUNTIF('Current Security Queue'!$F$2:$F$200,A18)</x:f>
        <x:v>17</x:v>
      </x:c>
      <x:c r="C18" s="629" t="str">
        <x:v>Code is in production; targeted real-client or failure-path proof remains.</x:v>
      </x:c>
      <x:c r="D18" s="629"/>
      <x:c r="E18" s="629"/>
    </x:row>
    <x:row r="19" ht="22" customHeight="1">
      <x:c r="A19" s="629" t="str">
        <x:v>Closed</x:v>
      </x:c>
      <x:c r="B19" s="629" t="n">
        <x:f>COUNTIF('Current Security Queue'!$F$2:$F$200,A19)</x:f>
        <x:v>3</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093" t="str">
        <x:v>Release Gate State</x:v>
      </x:c>
      <x:c r="B22" s="1093" t="str">
        <x:v>Count</x:v>
      </x:c>
      <x:c r="C22" s="1093" t="str">
        <x:v>Meaning</x:v>
      </x:c>
      <x:c r="D22" s="629"/>
      <x:c r="E22" s="629"/>
    </x:row>
    <x:row r="23" ht="22" customHeight="1">
      <x:c r="A23" s="629" t="str">
        <x:v>Blocked</x:v>
      </x:c>
      <x:c r="B23" s="629" t="n">
        <x:f>COUNTIF('Release Gates'!$I$2:$I$200,A23)</x:f>
        <x:v>12</x:v>
      </x:c>
      <x:c r="C23" s="629" t="str">
        <x:v>Required evidence or work is missing.</x:v>
      </x:c>
      <x:c r="D23" s="629"/>
      <x:c r="E23" s="629"/>
    </x:row>
    <x:row r="24" ht="22" customHeight="1">
      <x:c r="A24" s="629" t="str">
        <x:v>In Progress</x:v>
      </x:c>
      <x:c r="B24" s="629" t="n">
        <x:f>COUNTIF('Release Gates'!$I$2:$I$200,A24)</x:f>
        <x:v>17</x:v>
      </x:c>
      <x:c r="C24" s="629" t="str">
        <x:v>Work started but gate is not complete.</x:v>
      </x:c>
      <x:c r="D24" s="629"/>
      <x:c r="E24" s="629"/>
    </x:row>
    <x:row r="25" ht="22" customHeight="1">
      <x:c r="A25" s="629" t="str">
        <x:v>Passed</x:v>
      </x:c>
      <x:c r="B25" s="629" t="n">
        <x:f>COUNTIF('Release Gates'!$I$2:$I$200,A25)</x:f>
        <x:v>6</x:v>
      </x:c>
      <x:c r="C25" s="629" t="str">
        <x:v>All required evidence for the row is present.</x:v>
      </x:c>
      <x:c r="D25" s="629"/>
      <x:c r="E25" s="629"/>
    </x:row>
    <x:row r="26" ht="22" customHeight="1">
      <x:c r="A26" s="631" t="str">
        <x:v>Deferred</x:v>
      </x:c>
      <x:c r="B26" s="631" t="n">
        <x:f>COUNTIF('Release Gates'!$I$2:$I$200,A26)</x:f>
        <x:v>0</x:v>
      </x:c>
      <x:c r="C26" s="631" t="str">
        <x:v>Outside the current release scope.</x:v>
      </x:c>
      <x:c r="D26" s="631"/>
      <x:c r="E26" s="631"/>
    </x:row>
  </x:sheetData>
  <x:conditionalFormatting sqref="A16:B26">
    <x:cfRule type="containsText" dxfId="350" priority="1" operator="containsText" text="Passed"/>
    <x:cfRule type="containsText" dxfId="351" priority="2" operator="containsText" text="Fixed Local"/>
    <x:cfRule type="containsText" dxfId="352" priority="3" operator="containsText" text="Deployed"/>
    <x:cfRule type="containsText" dxfId="353" priority="4" operator="containsText" text="Closed"/>
    <x:cfRule type="containsText" dxfId="354" priority="5" operator="containsText" text="Blocked"/>
    <x:cfRule type="containsText" dxfId="355" priority="6" operator="containsText" text="Open"/>
    <x:cfRule type="containsText" dxfId="356"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073" t="str">
        <x:v>Gate ID</x:v>
      </x:c>
      <x:c r="B1" s="1074" t="str">
        <x:v>Work Item</x:v>
      </x:c>
      <x:c r="C1" s="1074" t="str">
        <x:v>Priority</x:v>
      </x:c>
      <x:c r="D1" s="1074" t="str">
        <x:v>Implementation</x:v>
      </x:c>
      <x:c r="E1" s="1074" t="str">
        <x:v>Automated QA</x:v>
      </x:c>
      <x:c r="F1" s="1074" t="str">
        <x:v>Live QA</x:v>
      </x:c>
      <x:c r="G1" s="1074" t="str">
        <x:v>Security Validation</x:v>
      </x:c>
      <x:c r="H1" s="1074" t="str">
        <x:v>Deployment</x:v>
      </x:c>
      <x:c r="I1" s="1074" t="str">
        <x:v>Release Gate</x:v>
      </x:c>
      <x:c r="J1" s="1074" t="str">
        <x:v>Evidence Date</x:v>
      </x:c>
      <x:c r="K1" s="1074" t="str">
        <x:v>Owner</x:v>
      </x:c>
      <x:c r="L1" s="1074" t="str">
        <x:v>Blocked By</x:v>
      </x:c>
      <x:c r="M1" s="1074" t="str">
        <x:v>Supersedes</x:v>
      </x:c>
      <x:c r="N1" s="1075"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Pending</x:v>
      </x:c>
      <x:c r="G23" s="615" t="str">
        <x:v>Passed Local</x:v>
      </x:c>
      <x:c r="H23" s="615" t="str">
        <x:v>Deployed</x:v>
      </x:c>
      <x:c r="I23" s="615" t="str">
        <x:v>In Progress</x:v>
      </x:c>
      <x:c r="J23" s="618" t="n">
        <x:v>46214</x:v>
      </x:c>
      <x:c r="K23" s="615" t="str">
        <x:v>DevOps</x:v>
      </x:c>
      <x:c r="L23" s="615" t="str">
        <x:v>GitHub Actions run + controlled missing-secret/restore drill</x:v>
      </x:c>
      <x:c r="M23" s="615" t="str"/>
      <x:c r="N23" s="615" t="str">
        <x:v>The scheduled workflow explicitly requires Telegram secrets; pure policy proves a required skip fails even with fail-on-warn disabled. Live Actions evidence remains. Production release: PR #71 / 6fb71ec8; migrations, polling cutover, restart and smoke evidence recorded 2026-07-11.</x:v>
      </x:c>
    </x:row>
    <x:row r="24">
      <x:c r="A24" s="615" t="str">
        <x:v>BOT-001</x:v>
      </x:c>
      <x:c r="B24" s="615" t="str">
        <x:v>Canonical Telegram intent/action taxonomy and response contract</x:v>
      </x:c>
      <x:c r="C24" s="615" t="str">
        <x:v>P1</x:v>
      </x:c>
      <x:c r="D24" s="615" t="str">
        <x:v>In Progress</x:v>
      </x:c>
      <x:c r="E24" s="615" t="str">
        <x:v>Pending</x:v>
      </x:c>
      <x:c r="F24" s="615" t="str">
        <x:v>Pending</x:v>
      </x:c>
      <x:c r="G24" s="615" t="str">
        <x:v>In Progress</x:v>
      </x:c>
      <x:c r="H24" s="615" t="str">
        <x:v>Not Deployed</x:v>
      </x:c>
      <x:c r="I24" s="615" t="str">
        <x:v>Blocked</x:v>
      </x:c>
      <x:c r="J24" s="618" t="n">
        <x:v>46214</x:v>
      </x:c>
      <x:c r="K24" s="615" t="str">
        <x:v>Telegram / Product</x:v>
      </x:c>
      <x:c r="L24" s="615" t="str">
        <x:v>Gate 1 trust contract</x:v>
      </x:c>
      <x:c r="M24" s="615" t="str"/>
      <x:c r="N24" s="615" t="str">
        <x:v>Post-check helper actions are now typed/shared; the broader direct/Inline intent and response contract remains incomplete.</x:v>
      </x:c>
    </x:row>
    <x:row r="25">
      <x:c r="A25" s="615" t="str">
        <x:v>BOT-002</x:v>
      </x:c>
      <x:c r="B25" s="615" t="str">
        <x:v>Privacy-safe provenance snapshot for methodology follow-ups</x:v>
      </x:c>
      <x:c r="C25" s="615" t="str">
        <x:v>P1</x:v>
      </x:c>
      <x:c r="D25" s="615" t="str">
        <x:v>Implemented</x:v>
      </x:c>
      <x:c r="E25" s="615" t="str">
        <x:v>Passed</x:v>
      </x:c>
      <x:c r="F25" s="615" t="str">
        <x:v>Pending</x:v>
      </x:c>
      <x:c r="G25" s="615" t="str">
        <x:v>Passed Local</x:v>
      </x:c>
      <x:c r="H25" s="615" t="str">
        <x:v>Deployed</x:v>
      </x:c>
      <x:c r="I25" s="615" t="str">
        <x:v>In Progress</x:v>
      </x:c>
      <x:c r="J25" s="618" t="n">
        <x:v>46214</x:v>
      </x:c>
      <x:c r="K25" s="615" t="str">
        <x:v>Telegram / Risk</x:v>
      </x:c>
      <x:c r="L25" s="615" t="str">
        <x:v>TRUST-003</x:v>
      </x:c>
      <x:c r="M25" s="615" t="str"/>
      <x:c r="N25" s="615" t="str">
        <x:v>LastCheckSnapshot stores at most three enum methods/source classes/limitations; no raw evidence. 306 focused tests pass. Production release: PR #71 / 6fb71ec8; migrations, polling cutover, restart and smoke evidence recorded 2026-07-11.</x:v>
      </x:c>
    </x:row>
    <x:row r="26">
      <x:c r="A26" s="615" t="str">
        <x:v>BOT-003</x:v>
      </x:c>
      <x:c r="B26" s="615" t="str">
        <x:v>Missing confidence/methodology/trusted-person/recheck/disagreement actions</x:v>
      </x:c>
      <x:c r="C26" s="615" t="str">
        <x:v>P1</x:v>
      </x:c>
      <x:c r="D26" s="615" t="str">
        <x:v>Implemented</x:v>
      </x:c>
      <x:c r="E26" s="615" t="str">
        <x:v>Passed</x:v>
      </x:c>
      <x:c r="F26" s="615" t="str">
        <x:v>Pending</x:v>
      </x:c>
      <x:c r="G26" s="615" t="str">
        <x:v>Passed Local</x:v>
      </x:c>
      <x:c r="H26" s="615" t="str">
        <x:v>Deployed</x:v>
      </x:c>
      <x:c r="I26" s="615" t="str">
        <x:v>In Progress</x:v>
      </x:c>
      <x:c r="J26" s="618" t="n">
        <x:v>46214</x:v>
      </x:c>
      <x:c r="K26" s="615" t="str">
        <x:v>Telegram / Copy</x:v>
      </x:c>
      <x:c r="L26" s="615" t="str">
        <x:v>BOT-001..002</x:v>
      </x:c>
      <x:c r="M26" s="615" t="str"/>
      <x:c r="N26" s="615" t="str">
        <x:v>Confidence/methodology/trusted-person/recheck/disagreement actions pass RU/UZ/EN; free-text trusted-person has no side effect. Production release: PR #71 / 6fb71ec8; migrations, polling cutover, restart and smoke evidence recorded 2026-07-11.</x:v>
      </x:c>
    </x:row>
    <x:row r="27">
      <x:c r="A27" s="615" t="str">
        <x:v>BOT-004</x:v>
      </x:c>
      <x:c r="B27" s="615" t="str">
        <x:v>Golden phrase corpus and multi-turn dialogue DSL</x:v>
      </x:c>
      <x:c r="C27" s="615" t="str">
        <x:v>P1</x:v>
      </x:c>
      <x:c r="D27" s="615" t="str">
        <x:v>In Progress</x:v>
      </x:c>
      <x:c r="E27" s="615" t="str">
        <x:v>Pending</x:v>
      </x:c>
      <x:c r="F27" s="615" t="str">
        <x:v>Pending</x:v>
      </x:c>
      <x:c r="G27" s="615" t="str">
        <x:v>In Progress</x:v>
      </x:c>
      <x:c r="H27" s="615" t="str">
        <x:v>Not Deployed</x:v>
      </x:c>
      <x:c r="I27" s="615" t="str">
        <x:v>Blocked</x:v>
      </x:c>
      <x:c r="J27" s="618" t="n">
        <x:v>46214</x:v>
      </x:c>
      <x:c r="K27" s="615" t="str">
        <x:v>QA Automation</x:v>
      </x:c>
      <x:c r="L27" s="615" t="str">
        <x:v>BOT-001</x:v>
      </x:c>
      <x:c r="M27" s="615" t="str"/>
      <x:c r="N27" s="615" t="str">
        <x:v>24 RU/UZ/EN post-check rows are enforced inside the 239-row live matrix; the planned 1100-row canonical corpus and multi-turn dialogue DSL remain.</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three migrations applied; polling cutover and restart passed; monitor, web P1, security and Family Shield smoke passed with cleanup.</x:v>
      </x:c>
    </x:row>
    <x:row r="29">
      <x:c r="A29" s="615" t="str">
        <x:v>INL-001</x:v>
      </x:c>
      <x:c r="B29" s="615" t="str">
        <x:v>Inline full backend/protocol/failure/privacy matrix</x:v>
      </x:c>
      <x:c r="C29" s="615" t="str">
        <x:v>P1</x:v>
      </x:c>
      <x:c r="D29" s="615" t="str">
        <x:v>In Progress</x:v>
      </x:c>
      <x:c r="E29" s="615" t="str">
        <x:v>Pending</x:v>
      </x:c>
      <x:c r="F29" s="615" t="str">
        <x:v>Pending</x:v>
      </x:c>
      <x:c r="G29" s="615" t="str">
        <x:v>Pending</x:v>
      </x:c>
      <x:c r="H29" s="615" t="str">
        <x:v>Not Deployed</x:v>
      </x:c>
      <x:c r="I29" s="615" t="str">
        <x:v>Blocked</x:v>
      </x:c>
      <x:c r="J29" s="618" t="n">
        <x:v>46214</x:v>
      </x:c>
      <x:c r="K29" s="615" t="str">
        <x:v>Telegram / QA</x:v>
      </x:c>
      <x:c r="L29" s="615" t="str">
        <x:v>Gate 1 Inline deploy</x:v>
      </x:c>
      <x:c r="M29" s="615" t="str">
        <x:v>INL-P0-01..04</x:v>
      </x:c>
      <x:c r="N29" s="615" t="str">
        <x:v>55x3 reason presentations now pass through the real adapter; remaining matrix includes webhook config, faults, prefix/load and stateless follow-ups.</x:v>
      </x:c>
    </x:row>
    <x:row r="30">
      <x:c r="A30" s="615" t="str">
        <x:v>INL-002</x:v>
      </x:c>
      <x:c r="B30" s="615" t="str">
        <x:v>Telegram Desktop/Android/iOS real-client visual matrix</x:v>
      </x:c>
      <x:c r="C30" s="615" t="str">
        <x:v>P1</x:v>
      </x:c>
      <x:c r="D30" s="615" t="str">
        <x:v>Not Started</x:v>
      </x:c>
      <x:c r="E30" s="615" t="str">
        <x:v>Pending</x:v>
      </x:c>
      <x:c r="F30" s="615" t="str">
        <x:v>Pending</x:v>
      </x:c>
      <x:c r="G30" s="615" t="str">
        <x:v>Pending</x:v>
      </x:c>
      <x:c r="H30" s="615" t="str">
        <x:v>Not Deployed</x:v>
      </x:c>
      <x:c r="I30" s="615" t="str">
        <x:v>Blocked</x:v>
      </x:c>
      <x:c r="J30" s="618"/>
      <x:c r="K30" s="615" t="str">
        <x:v>QA / Product</x:v>
      </x:c>
      <x:c r="L30" s="615" t="str">
        <x:v>Devices + staging deploy</x:v>
      </x:c>
      <x:c r="M30" s="615" t="str"/>
      <x:c r="N30" s="615" t="str">
        <x:v>Screenshots before/after insert; critical privacy/language/high-risk cases on all three clients.</x:v>
      </x:c>
    </x:row>
    <x:row r="31">
      <x:c r="A31" s="615" t="str">
        <x:v>OPS-001</x:v>
      </x:c>
      <x:c r="B31" s="615" t="str">
        <x:v>Mandatory lint/format/type/coverage/SAST/secret/dependency/container gates</x:v>
      </x:c>
      <x:c r="C31" s="615" t="str">
        <x:v>P2</x:v>
      </x:c>
      <x:c r="D31" s="615" t="str">
        <x:v>In Progress</x:v>
      </x:c>
      <x:c r="E31" s="615" t="str">
        <x:v>Pending</x:v>
      </x:c>
      <x:c r="F31" s="615" t="str">
        <x:v>N/A</x:v>
      </x:c>
      <x:c r="G31" s="615" t="str">
        <x:v>In Progress</x:v>
      </x:c>
      <x:c r="H31" s="615" t="str">
        <x:v>Not Deployed</x:v>
      </x:c>
      <x:c r="I31" s="615" t="str">
        <x:v>Blocked</x:v>
      </x:c>
      <x:c r="J31" s="618" t="n">
        <x:v>46214</x:v>
      </x:c>
      <x:c r="K31" s="615" t="str">
        <x:v>DevOps / Security</x:v>
      </x:c>
      <x:c r="L31" s="615" t="str"/>
      <x:c r="M31" s="615" t="str"/>
      <x:c r="N31" s="615" t="str">
        <x:v>Full lint now passes with 0 errors/8 warnings; typecheck, 2863x2 tests, npm audits and build pass. Coverage/SAST/secret/container gates still require CI evidence; High/Critical blocks release or has an expiry-bound exception.</x:v>
      </x:c>
    </x:row>
    <x:row r="32">
      <x:c r="A32" s="615" t="str">
        <x:v>OPS-002</x:v>
      </x:c>
      <x:c r="B32" s="615" t="str">
        <x:v>SBOM, signing/provenance and immutable dependency pins</x:v>
      </x:c>
      <x:c r="C32" s="615" t="str">
        <x:v>P2</x:v>
      </x:c>
      <x:c r="D32" s="615" t="str">
        <x:v>Not Started</x:v>
      </x:c>
      <x:c r="E32" s="615" t="str">
        <x:v>Pending</x:v>
      </x:c>
      <x:c r="F32" s="615" t="str">
        <x:v>N/A</x:v>
      </x:c>
      <x:c r="G32" s="615" t="str">
        <x:v>Pending</x:v>
      </x:c>
      <x:c r="H32" s="615" t="str">
        <x:v>Not Deployed</x:v>
      </x:c>
      <x:c r="I32" s="615" t="str">
        <x:v>Blocked</x:v>
      </x:c>
      <x:c r="J32" s="618"/>
      <x:c r="K32" s="615" t="str">
        <x:v>DevOps / Security</x:v>
      </x:c>
      <x:c r="L32" s="615" t="str"/>
      <x:c r="M32" s="615" t="str"/>
      <x:c r="N32" s="615" t="str">
        <x:v>Release artifact is bound to commit and immutable dependencies.</x:v>
      </x:c>
    </x:row>
    <x:row r="33">
      <x:c r="A33" s="615" t="str">
        <x:v>OPS-003</x:v>
      </x:c>
      <x:c r="B33" s="615" t="str">
        <x:v>Browser E2E, accessibility, visual and performance budgets</x:v>
      </x:c>
      <x:c r="C33" s="615" t="str">
        <x:v>P2</x:v>
      </x:c>
      <x:c r="D33" s="615" t="str">
        <x:v>Not Started</x:v>
      </x:c>
      <x:c r="E33" s="615" t="str">
        <x:v>Pending</x:v>
      </x:c>
      <x:c r="F33" s="615" t="str">
        <x:v>Pending</x:v>
      </x:c>
      <x:c r="G33" s="615" t="str">
        <x:v>Pending</x:v>
      </x:c>
      <x:c r="H33" s="615" t="str">
        <x:v>Not Deployed</x:v>
      </x:c>
      <x:c r="I33" s="615" t="str">
        <x:v>Blocked</x:v>
      </x:c>
      <x:c r="J33" s="618"/>
      <x:c r="K33" s="615" t="str">
        <x:v>Frontend / QA</x:v>
      </x:c>
      <x:c r="L33" s="615" t="str"/>
      <x:c r="M33" s="615" t="str"/>
      <x:c r="N33" s="615" t="str">
        <x:v>Critical web journeys and agreed budgets block regressions.</x:v>
      </x:c>
    </x:row>
    <x:row r="34">
      <x:c r="A34" s="615" t="str">
        <x:v>OPS-004</x:v>
      </x:c>
      <x:c r="B34" s="615" t="str">
        <x:v>Privacy/legal/appeal/retention/partner-governance review</x:v>
      </x:c>
      <x:c r="C34" s="615" t="str">
        <x:v>P2</x:v>
      </x:c>
      <x:c r="D34" s="615" t="str">
        <x:v>Not Started</x:v>
      </x:c>
      <x:c r="E34" s="615" t="str">
        <x:v>Pending</x:v>
      </x:c>
      <x:c r="F34" s="615" t="str">
        <x:v>Pending</x:v>
      </x:c>
      <x:c r="G34" s="615" t="str">
        <x:v>Pending</x:v>
      </x:c>
      <x:c r="H34" s="615" t="str">
        <x:v>Not Deployed</x:v>
      </x:c>
      <x:c r="I34" s="615" t="str">
        <x:v>Blocked</x:v>
      </x:c>
      <x:c r="J34" s="618"/>
      <x:c r="K34" s="615" t="str">
        <x:v>Product / Legal</x:v>
      </x:c>
      <x:c r="L34" s="615" t="str">
        <x:v>External legal review</x:v>
      </x:c>
      <x:c r="M34" s="615" t="str"/>
      <x:c r="N34" s="615" t="str">
        <x:v>One current approved privacy spec and truthful public copy.</x:v>
      </x:c>
    </x:row>
    <x:row r="35">
      <x:c r="A35" s="615" t="str">
        <x:v>DR-001</x:v>
      </x:c>
      <x:c r="B35" s="615" t="str">
        <x:v>Backup restore, RPO/RTO, rollback and key-rotation drill</x:v>
      </x:c>
      <x:c r="C35" s="615" t="str">
        <x:v>P2</x:v>
      </x:c>
      <x:c r="D35" s="615" t="str">
        <x:v>Not Started</x:v>
      </x:c>
      <x:c r="E35" s="615" t="str">
        <x:v>Pending</x:v>
      </x:c>
      <x:c r="F35" s="615" t="str">
        <x:v>Pending</x:v>
      </x:c>
      <x:c r="G35" s="615" t="str">
        <x:v>Pending</x:v>
      </x:c>
      <x:c r="H35" s="615" t="str">
        <x:v>Not Deployed</x:v>
      </x:c>
      <x:c r="I35" s="615" t="str">
        <x:v>Blocked</x:v>
      </x:c>
      <x:c r="J35" s="618"/>
      <x:c r="K35" s="615" t="str">
        <x:v>DevOps / Data</x:v>
      </x:c>
      <x:c r="L35" s="615" t="str">
        <x:v>Production access</x:v>
      </x:c>
      <x:c r="M35" s="615" t="str"/>
      <x:c r="N35" s="615" t="str">
        <x:v>Restore/rollback/key rotation evidence exists and is current.</x:v>
      </x:c>
    </x:row>
    <x:row r="36">
      <x:c r="A36" s="615" t="str">
        <x:v>RC-001</x:v>
      </x:c>
      <x:c r="B36" s="615" t="str">
        <x:v>RC commit, fresh security scan and 72-hour closed canary</x:v>
      </x:c>
      <x:c r="C36" s="615" t="str">
        <x:v>P1</x:v>
      </x:c>
      <x:c r="D36" s="615" t="str">
        <x:v>Not Started</x:v>
      </x:c>
      <x:c r="E36" s="615" t="str">
        <x:v>Pending</x:v>
      </x:c>
      <x:c r="F36" s="615" t="str">
        <x:v>Pending</x:v>
      </x:c>
      <x:c r="G36" s="615" t="str">
        <x:v>Pending</x:v>
      </x:c>
      <x:c r="H36" s="615" t="str">
        <x:v>Not Deployed</x:v>
      </x:c>
      <x:c r="I36" s="615" t="str">
        <x:v>Blocked</x:v>
      </x:c>
      <x:c r="J36" s="618"/>
      <x:c r="K36" s="615" t="str">
        <x:v>Release Team</x:v>
      </x:c>
      <x:c r="L36" s="615" t="str">
        <x:v>All P0/P1 gates</x:v>
      </x:c>
      <x:c r="M36" s="615" t="str"/>
      <x:c r="N36" s="615" t="str">
        <x:v>Go requires 0 open P0/P1 and fresh production/security/restore evidence.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dataValidations count="7">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073" t="str">
        <x:v>Finding ID</x:v>
      </x:c>
      <x:c r="B1" s="1074" t="str">
        <x:v>Priority</x:v>
      </x:c>
      <x:c r="C1" s="1074" t="str">
        <x:v>Area</x:v>
      </x:c>
      <x:c r="D1" s="1074" t="str">
        <x:v>Finding</x:v>
      </x:c>
      <x:c r="E1" s="1074" t="str">
        <x:v>Affected Path</x:v>
      </x:c>
      <x:c r="F1" s="1074" t="str">
        <x:v>Current Status</x:v>
      </x:c>
      <x:c r="G1" s="1074" t="str">
        <x:v>Owner</x:v>
      </x:c>
      <x:c r="H1" s="1074" t="str">
        <x:v>Gate</x:v>
      </x:c>
      <x:c r="I1" s="1074" t="str">
        <x:v>Evidence</x:v>
      </x:c>
      <x:c r="J1" s="1074" t="str">
        <x:v>Next Step</x:v>
      </x:c>
      <x:c r="K1" s="1074" t="str">
        <x:v>Acceptance Criteria</x:v>
      </x:c>
      <x:c r="L1" s="1075"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three migrations applied; polling cutover and restart passed; monitor, web P1, security and Family Shield smoke passed with cleanup.</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three migrations applied; polling cutover and restart passed; monitor, web P1, security and Family Shield smoke passed with cleanup.</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three migrations applied; polling cutover and restart passed; monitor, web P1, security and Family Shield smoke passed with cleanup.</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three migrations applied; polling cutover and restart passed; monitor, web P1, security and Family Shield smoke passed with cleanup.</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three migrations applied; polling cutover and restart passed; monitor, web P1, security and Family Shield smoke passed with cleanup.</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three migrations applied; polling cutover and restart passed; monitor, web P1, security and Family Shield smoke passed with cleanup.</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three migrations applied; polling cutover and restart passed; monitor, web P1, security and Family Shield smoke passed with cleanup.</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three migrations applied; polling cutover and restart passed; monitor, web P1, security and Family Shield smoke passed with cleanup.</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three migrations applied; polling cutover and restart passed; monitor, web P1, security and Family Shield smoke passed with cleanup.</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three migrations applied; polling cutover and restart passed; monitor, web P1, security and Family Shield smoke passed with cleanup.</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three migrations applied; polling cutover and restart passed; monitor, web P1, security and Family Shield smoke passed with cleanup.</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three migrations applied; polling cutover and restart passed; monitor, web P1, security and Family Shield smoke passed with cleanup.</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three migrations applied; polling cutover and restart passed; monitor, web P1, security and Family Shield smoke passed with cleanup.</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three migrations applied; polling cutover and restart passed; monitor, web P1, security and Family Shield smoke passed with cleanup.</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three migrations applied; polling cutover and restart passed; monitor, web P1, security and Family Shield smoke passed with cleanup.</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three migrations applied; polling cutover and restart passed; monitor, web P1, security and Family Shield smoke passed with cleanup.</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+ 2741 full tests; TypeScript/scoped lint. Prod 6fb71ec8: three migrations applied; polling cutover and restart passed; monitor, web P1, security and Family Shield smoke passed with cleanup.</x:v>
      </x:c>
      <x:c r="J18" s="615" t="str">
        <x:v>Closed after production deployment and targeted post-deploy verification.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three migrations applied; polling cutover and restart passed; monitor, web P1, security and Family Shield smoke passed with cleanup.</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Deployed / Awaiting Live Verification</x:v>
      </x:c>
      <x:c r="G20" s="615" t="str">
        <x:v>Telegram / Product</x:v>
      </x:c>
      <x:c r="H20" s="615" t="str">
        <x:v>Gate 2</x:v>
      </x:c>
      <x:c r="I20" s="615" t="str">
        <x:v>24 post-check rows inside the 239-phrase live matrix; 634 critical tests x5, expanded focus 713, 2159 Telegram and 2863 full tests x2. Prod 6fb71ec8: three migrations applied; polling cutover and restart passed; monitor, web P1, security and Family Shield smoke passed with cleanup.</x:v>
      </x:c>
      <x:c r="J20" s="615" t="str">
        <x:v>Run remaining targeted run real multi-turn transcripts and session-loss/restart cases</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three migrations applied; polling cutover and restart passed; monitor, web P1, security and Family Shield smoke passed with cleanup.</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sheetData>
  <x:conditionalFormatting sqref="F2:F21">
    <x:cfRule type="containsText" dxfId="343" priority="1" operator="containsText" text="Passed"/>
    <x:cfRule type="containsText" dxfId="344" priority="2" operator="containsText" text="Fixed Local"/>
    <x:cfRule type="containsText" dxfId="345" priority="3" operator="containsText" text="Deployed"/>
    <x:cfRule type="containsText" dxfId="346" priority="4" operator="containsText" text="Closed"/>
    <x:cfRule type="containsText" dxfId="347" priority="5" operator="containsText" text="Blocked"/>
    <x:cfRule type="containsText" dxfId="348" priority="6" operator="containsText" text="Open"/>
    <x:cfRule type="containsText" dxfId="349" priority="7" operator="containsText" text="In Progress"/>
  </x:conditionalFormatting>
  <x:dataValidations count="2">
    <x:dataValidation type="list" sqref="B2:B21">
      <x:formula1>"P0,P1,P2"</x:formula1>
    </x:dataValidation>
    <x:dataValidation type="list" sqref="F2:F21">
      <x:formula1>"Open,In Progress,Fixed Local / Awaiting Deploy,Deployed / Awaiting Live Verification,Closed,Accepted Risk"</x:formula1>
    </x:dataValidation>
  </x:dataValidations>
  <x:pageMargins left="0.7" right="0.7" top="0.75" bottom="0.75" header="0.3" footer="0.3"/>
</x:worksheet>
</file>