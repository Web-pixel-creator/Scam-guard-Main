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3a0fbd7bd0451f" /></Relationships>
</file>

<file path=xl/workbook.xml><?xml version="1.0" encoding="utf-8"?>
<x:workbook xmlns:x="http://schemas.openxmlformats.org/spreadsheetml/2006/main">
  <x:sheets>
    <x:sheet xmlns:r="http://schemas.openxmlformats.org/officeDocument/2006/relationships" name="Status Summary" sheetId="1" r:id="R77e617c7fc46416e"/>
    <x:sheet xmlns:r="http://schemas.openxmlformats.org/officeDocument/2006/relationships" name="Tracker" sheetId="2" r:id="Re891b337460b491b"/>
    <x:sheet xmlns:r="http://schemas.openxmlformats.org/officeDocument/2006/relationships" name="Security Findings" sheetId="3" r:id="R1973335bfd3947d8"/>
    <x:sheet xmlns:r="http://schemas.openxmlformats.org/officeDocument/2006/relationships" name="Test Queue" sheetId="4" r:id="R9c15ea568d3347ec"/>
    <x:sheet xmlns:r="http://schemas.openxmlformats.org/officeDocument/2006/relationships" name="Test Errors" sheetId="5" r:id="Rfa8ccd57d888449f"/>
    <x:sheet xmlns:r="http://schemas.openxmlformats.org/officeDocument/2006/relationships" name="QA Runs" sheetId="6" r:id="R4d23201c7310469b"/>
    <x:sheet xmlns:r="http://schemas.openxmlformats.org/officeDocument/2006/relationships" name="Release Gates" sheetId="7" r:id="Re30527dbc05547e1"/>
    <x:sheet xmlns:r="http://schemas.openxmlformats.org/officeDocument/2006/relationships" name="Current Security Queue" sheetId="8" r:id="R22f7abb837ee47a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199">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179">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cellXfs>
  <x:cellStyles count="1">
    <x:cellStyle name="Normal" xfId="0"/>
  </x:cellStyles>
  <x:dxfs count="441">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0eda37345f04a17" /><Relationship Type="http://schemas.openxmlformats.org/officeDocument/2006/relationships/theme" Target="/xl/theme/theme1.xml" Id="R6a5a71fc934f4c54" /><Relationship Type="http://schemas.openxmlformats.org/officeDocument/2006/relationships/sharedStrings" Target="/xl/sharedStrings.xml" Id="R7c41f063009f43da" /><Relationship Type="http://schemas.openxmlformats.org/officeDocument/2006/relationships/worksheet" Target="/xl/worksheets/sheet1.xml" Id="R77e617c7fc46416e" /><Relationship Type="http://schemas.openxmlformats.org/officeDocument/2006/relationships/worksheet" Target="/xl/worksheets/sheet2.xml" Id="Re891b337460b491b" /><Relationship Type="http://schemas.openxmlformats.org/officeDocument/2006/relationships/worksheet" Target="/xl/worksheets/sheet3.xml" Id="R1973335bfd3947d8" /><Relationship Type="http://schemas.openxmlformats.org/officeDocument/2006/relationships/worksheet" Target="/xl/worksheets/sheet4.xml" Id="R9c15ea568d3347ec" /><Relationship Type="http://schemas.openxmlformats.org/officeDocument/2006/relationships/worksheet" Target="/xl/worksheets/sheet5.xml" Id="Rfa8ccd57d888449f" /><Relationship Type="http://schemas.openxmlformats.org/officeDocument/2006/relationships/worksheet" Target="/xl/worksheets/sheet6.xml" Id="R4d23201c7310469b" /><Relationship Type="http://schemas.openxmlformats.org/officeDocument/2006/relationships/worksheet" Target="/xl/worksheets/sheet7.xml" Id="Re30527dbc05547e1" /><Relationship Type="http://schemas.openxmlformats.org/officeDocument/2006/relationships/worksheet" Target="/xl/worksheets/sheet8.xml" Id="R22f7abb837ee47a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158" t="str">
        <x:v>Generated</x:v>
      </x:c>
      <x:c r="B1" s="1159" t="str">
        <x:v>Feature rows</x:v>
      </x:c>
      <x:c r="C1" s="1159" t="str">
        <x:v>Current security items</x:v>
      </x:c>
      <x:c r="D1" s="1159" t="str">
        <x:v>Next phase</x:v>
      </x:c>
      <x:c r="E1" s="1160" t="str">
        <x:v>Owner note</x:v>
      </x:c>
    </x:row>
    <x:row r="2" ht="72" customHeight="1">
      <x:c r="A2" s="1176" t="n">
        <x:v>46214</x:v>
      </x:c>
      <x:c r="B2" s="1177" t="n">
        <x:f>COUNTA('Tracker'!$A$2:$A$200)</x:f>
        <x:v>73</x:v>
      </x:c>
      <x:c r="C2" s="1177" t="n">
        <x:f>COUNTA('Current Security Queue'!$A$2:$A$200)</x:f>
        <x:v>20</x:v>
      </x:c>
      <x:c r="D2" s="1177" t="str">
        <x:v>Gate 2/3: finish BOT-001 intent/action contract and BOT-004 canonical corpus; run real-client Inline RU/UZ/EN, provider compatibility and resource-soak matrices; close remaining deployed findings and enable leaked-password protection.</x:v>
      </x:c>
      <x:c r="E2" s="1177" t="str">
        <x:v>Production release 6fb71ec8, QA PR #75 / 74066f1 and monitor PR #77 / 7466d00 are live in main. All five post-check actions passed; the scheduled polling monitor and controlled missing-secret/restore drill are green. BOT-001/BOT-004, real-client Inline, provider and soak evidence remain incomplete.</x:v>
      </x:c>
    </x:row>
    <x:row r="3" ht="22" customHeight="1">
      <x:c r="A3" s="629"/>
      <x:c r="B3" s="629"/>
      <x:c r="C3" s="629"/>
      <x:c r="D3" s="629"/>
      <x:c r="E3" s="629"/>
    </x:row>
    <x:row r="4" ht="26" customHeight="1">
      <x:c r="A4" s="1178" t="str">
        <x:v>Feature Status</x:v>
      </x:c>
      <x:c r="B4" s="1178" t="str">
        <x:v>Count</x:v>
      </x:c>
      <x:c r="C4" s="1178"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178" t="str">
        <x:v>Release Priority</x:v>
      </x:c>
      <x:c r="B9" s="1178" t="str">
        <x:v>Meaning</x:v>
      </x:c>
      <x:c r="C9" s="1178" t="str">
        <x:v>Count</x:v>
      </x:c>
      <x:c r="D9" s="1178"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12</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178" t="str">
        <x:v>Current Security Status</x:v>
      </x:c>
      <x:c r="B15" s="1178" t="str">
        <x:v>Count</x:v>
      </x:c>
      <x:c r="C15" s="1178"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Deployed / Awaiting Live Verification</x:v>
      </x:c>
      <x:c r="B18" s="629" t="n">
        <x:f>COUNTIF('Current Security Queue'!$F$2:$F$200,A18)</x:f>
        <x:v>16</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178" t="str">
        <x:v>Release Gate State</x:v>
      </x:c>
      <x:c r="B22" s="1178" t="str">
        <x:v>Count</x:v>
      </x:c>
      <x:c r="C22" s="1178" t="str">
        <x:v>Meaning</x:v>
      </x:c>
      <x:c r="D22" s="629"/>
      <x:c r="E22" s="629"/>
    </x:row>
    <x:row r="23" ht="22" customHeight="1">
      <x:c r="A23" s="629" t="str">
        <x:v>Blocked</x:v>
      </x:c>
      <x:c r="B23" s="629" t="n">
        <x:f>COUNTIF('Release Gates'!$I$2:$I$200,A23)</x:f>
        <x:v>12</x:v>
      </x:c>
      <x:c r="C23" s="629" t="str">
        <x:v>Required evidence or work is missing.</x:v>
      </x:c>
      <x:c r="D23" s="629"/>
      <x:c r="E23" s="629"/>
    </x:row>
    <x:row r="24" ht="22" customHeight="1">
      <x:c r="A24" s="629" t="str">
        <x:v>In Progress</x:v>
      </x:c>
      <x:c r="B24" s="629" t="n">
        <x:f>COUNTIF('Release Gates'!$I$2:$I$200,A24)</x:f>
        <x:v>14</x:v>
      </x:c>
      <x:c r="C24" s="629" t="str">
        <x:v>Work started but gate is not complete.</x:v>
      </x:c>
      <x:c r="D24" s="629"/>
      <x:c r="E24" s="629"/>
    </x:row>
    <x:row r="25" ht="22" customHeight="1">
      <x:c r="A25" s="629" t="str">
        <x:v>Passed</x:v>
      </x:c>
      <x:c r="B25" s="629" t="n">
        <x:f>COUNTIF('Release Gates'!$I$2:$I$200,A25)</x:f>
        <x:v>10</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434" priority="1" operator="containsText" text="Passed"/>
    <x:cfRule type="containsText" dxfId="435" priority="2" operator="containsText" text="Fixed Local"/>
    <x:cfRule type="containsText" dxfId="436" priority="3" operator="containsText" text="Deployed"/>
    <x:cfRule type="containsText" dxfId="437" priority="4" operator="containsText" text="Closed"/>
    <x:cfRule type="containsText" dxfId="438" priority="5" operator="containsText" text="Blocked"/>
    <x:cfRule type="containsText" dxfId="439" priority="6" operator="containsText" text="Open"/>
    <x:cfRule type="containsText" dxfId="440"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158" t="str">
        <x:v>Gate ID</x:v>
      </x:c>
      <x:c r="B1" s="1159" t="str">
        <x:v>Work Item</x:v>
      </x:c>
      <x:c r="C1" s="1159" t="str">
        <x:v>Priority</x:v>
      </x:c>
      <x:c r="D1" s="1159" t="str">
        <x:v>Implementation</x:v>
      </x:c>
      <x:c r="E1" s="1159" t="str">
        <x:v>Automated QA</x:v>
      </x:c>
      <x:c r="F1" s="1159" t="str">
        <x:v>Live QA</x:v>
      </x:c>
      <x:c r="G1" s="1159" t="str">
        <x:v>Security Validation</x:v>
      </x:c>
      <x:c r="H1" s="1159" t="str">
        <x:v>Deployment</x:v>
      </x:c>
      <x:c r="I1" s="1159" t="str">
        <x:v>Release Gate</x:v>
      </x:c>
      <x:c r="J1" s="1159" t="str">
        <x:v>Evidence Date</x:v>
      </x:c>
      <x:c r="K1" s="1159" t="str">
        <x:v>Owner</x:v>
      </x:c>
      <x:c r="L1" s="1159" t="str">
        <x:v>Blocked By</x:v>
      </x:c>
      <x:c r="M1" s="1159" t="str">
        <x:v>Supersedes</x:v>
      </x:c>
      <x:c r="N1" s="1160"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In Progress</x:v>
      </x:c>
      <x:c r="E24" s="615" t="str">
        <x:v>Pending</x:v>
      </x:c>
      <x:c r="F24" s="615" t="str">
        <x:v>Pending</x:v>
      </x:c>
      <x:c r="G24" s="615" t="str">
        <x:v>In Progress</x:v>
      </x:c>
      <x:c r="H24" s="615" t="str">
        <x:v>Not Deployed</x:v>
      </x:c>
      <x:c r="I24" s="615" t="str">
        <x:v>Blocked</x:v>
      </x:c>
      <x:c r="J24" s="618" t="n">
        <x:v>46214</x:v>
      </x:c>
      <x:c r="K24" s="615" t="str">
        <x:v>Telegram / Product</x:v>
      </x:c>
      <x:c r="L24" s="615" t="str">
        <x:v>Gate 1 trust contract</x:v>
      </x:c>
      <x:c r="M24" s="615" t="str"/>
      <x:c r="N24" s="615" t="str">
        <x:v>Post-check helper actions are now typed/shared; the broader direct/Inline intent and response contract remains incomplete.</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In Progress</x:v>
      </x:c>
      <x:c r="E27" s="615" t="str">
        <x:v>Pending</x:v>
      </x:c>
      <x:c r="F27" s="615" t="str">
        <x:v>Pending</x:v>
      </x:c>
      <x:c r="G27" s="615" t="str">
        <x:v>In Progress</x:v>
      </x:c>
      <x:c r="H27" s="615" t="str">
        <x:v>Not Deployed</x:v>
      </x:c>
      <x:c r="I27" s="615" t="str">
        <x:v>Blocked</x:v>
      </x:c>
      <x:c r="J27" s="618" t="n">
        <x:v>46214</x:v>
      </x:c>
      <x:c r="K27" s="615" t="str">
        <x:v>QA Automation</x:v>
      </x:c>
      <x:c r="L27" s="615" t="str">
        <x:v>BOT-001</x:v>
      </x:c>
      <x:c r="M27" s="615" t="str"/>
      <x:c r="N27" s="615" t="str">
        <x:v>The polling-compatible production harness now covers three critical multi-turn replies, but the planned 1100-row canonical corpus/dialogue DSL and broader live transcript set remain incomplete.</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Not Deployed</x:v>
      </x:c>
      <x:c r="I30" s="615" t="str">
        <x:v>Blocked</x:v>
      </x:c>
      <x:c r="J30" s="618" t="n">
        <x:v>46214</x:v>
      </x:c>
      <x:c r="K30" s="615" t="str">
        <x:v>Telegram / QA</x:v>
      </x:c>
      <x:c r="L30" s="615" t="str">
        <x:v>Gate 1 Inline deploy</x:v>
      </x:c>
      <x:c r="M30" s="615" t="str">
        <x:v>INL-P0-01..04</x:v>
      </x:c>
      <x:c r="N30" s="615" t="str">
        <x:v>55x3 reason presentations now pass through the real adapter; remaining matrix includes webhook config, faults, prefix/load and stateless follow-ups.</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20" priority="8" operator="containsText" text="Passed"/>
    <x:cfRule type="containsText" dxfId="421" priority="9" operator="containsText" text="Fixed Local"/>
    <x:cfRule type="containsText" dxfId="422" priority="10" operator="containsText" text="Deployed"/>
    <x:cfRule type="containsText" dxfId="423" priority="11" operator="containsText" text="Closed"/>
    <x:cfRule type="containsText" dxfId="424" priority="12" operator="containsText" text="Blocked"/>
    <x:cfRule type="containsText" dxfId="425" priority="13" operator="containsText" text="Open"/>
    <x:cfRule type="containsText" dxfId="426" priority="14" operator="containsText" text="In Progress"/>
  </x:conditionalFormatting>
  <x:dataValidations count="14">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158" t="str">
        <x:v>Finding ID</x:v>
      </x:c>
      <x:c r="B1" s="1159" t="str">
        <x:v>Priority</x:v>
      </x:c>
      <x:c r="C1" s="1159" t="str">
        <x:v>Area</x:v>
      </x:c>
      <x:c r="D1" s="1159" t="str">
        <x:v>Finding</x:v>
      </x:c>
      <x:c r="E1" s="1159" t="str">
        <x:v>Affected Path</x:v>
      </x:c>
      <x:c r="F1" s="1159" t="str">
        <x:v>Current Status</x:v>
      </x:c>
      <x:c r="G1" s="1159" t="str">
        <x:v>Owner</x:v>
      </x:c>
      <x:c r="H1" s="1159" t="str">
        <x:v>Gate</x:v>
      </x:c>
      <x:c r="I1" s="1159" t="str">
        <x:v>Evidence</x:v>
      </x:c>
      <x:c r="J1" s="1159" t="str">
        <x:v>Next Step</x:v>
      </x:c>
      <x:c r="K1" s="1159" t="str">
        <x:v>Acceptance Criteria</x:v>
      </x:c>
      <x:c r="L1" s="1160"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427" priority="1" operator="containsText" text="Passed"/>
    <x:cfRule type="containsText" dxfId="428" priority="2" operator="containsText" text="Fixed Local"/>
    <x:cfRule type="containsText" dxfId="429" priority="3" operator="containsText" text="Deployed"/>
    <x:cfRule type="containsText" dxfId="430" priority="4" operator="containsText" text="Closed"/>
    <x:cfRule type="containsText" dxfId="431" priority="5" operator="containsText" text="Blocked"/>
    <x:cfRule type="containsText" dxfId="432" priority="6" operator="containsText" text="Open"/>
    <x:cfRule type="containsText" dxfId="433" priority="7" operator="containsText" text="In Progress"/>
  </x:conditionalFormatting>
  <x:dataValidations count="2">
    <x:dataValidation type="list" sqref="B2:B21">
      <x:formula1>"P0,P1,P2"</x:formula1>
    </x:dataValidation>
    <x:dataValidation type="list" sqref="F2:F21">
      <x:formula1>"Open,In Progress,Fixed Local / Awaiting Deploy,Deployed / Awaiting Live Verification,Closed,Accepted Risk"</x:formula1>
    </x:dataValidation>
  </x:dataValidations>
  <x:pageMargins left="0.7" right="0.7" top="0.75" bottom="0.75" header="0.3" footer="0.3"/>
</x:worksheet>
</file>