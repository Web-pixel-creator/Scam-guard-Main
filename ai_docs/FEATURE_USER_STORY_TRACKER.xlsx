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982717ba914a63" /></Relationships>
</file>

<file path=xl/workbook.xml><?xml version="1.0" encoding="utf-8"?>
<x:workbook xmlns:x="http://schemas.openxmlformats.org/spreadsheetml/2006/main">
  <x:sheets>
    <x:sheet xmlns:r="http://schemas.openxmlformats.org/officeDocument/2006/relationships" name="Status Summary" sheetId="1" r:id="Rf7f31773bb9444c4"/>
    <x:sheet xmlns:r="http://schemas.openxmlformats.org/officeDocument/2006/relationships" name="Tracker" sheetId="2" r:id="R0f178f0a3c014512"/>
    <x:sheet xmlns:r="http://schemas.openxmlformats.org/officeDocument/2006/relationships" name="Security Findings" sheetId="3" r:id="R5b02a540a1104074"/>
    <x:sheet xmlns:r="http://schemas.openxmlformats.org/officeDocument/2006/relationships" name="Test Queue" sheetId="4" r:id="R4bc6a07a04264127"/>
    <x:sheet xmlns:r="http://schemas.openxmlformats.org/officeDocument/2006/relationships" name="Test Errors" sheetId="5" r:id="R56ceb83610b04b95"/>
    <x:sheet xmlns:r="http://schemas.openxmlformats.org/officeDocument/2006/relationships" name="QA Runs" sheetId="6" r:id="R3f25b48ca73d4f2e"/>
    <x:sheet xmlns:r="http://schemas.openxmlformats.org/officeDocument/2006/relationships" name="Release Gates" sheetId="7" r:id="Rf1da4f2a0fb84dd4"/>
    <x:sheet xmlns:r="http://schemas.openxmlformats.org/officeDocument/2006/relationships" name="Current Security Queue" sheetId="8" r:id="R6f49add54bb3448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193">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137">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cellXfs>
  <x:cellStyles count="1">
    <x:cellStyle name="Normal" xfId="0"/>
  </x:cellStyles>
  <x:dxfs count="399">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28a6fbb144e4b32" /><Relationship Type="http://schemas.openxmlformats.org/officeDocument/2006/relationships/theme" Target="/xl/theme/theme1.xml" Id="R20c433a36ef64b67" /><Relationship Type="http://schemas.openxmlformats.org/officeDocument/2006/relationships/sharedStrings" Target="/xl/sharedStrings.xml" Id="Ra95ea290b6dd46de" /><Relationship Type="http://schemas.openxmlformats.org/officeDocument/2006/relationships/worksheet" Target="/xl/worksheets/sheet1.xml" Id="Rf7f31773bb9444c4" /><Relationship Type="http://schemas.openxmlformats.org/officeDocument/2006/relationships/worksheet" Target="/xl/worksheets/sheet2.xml" Id="R0f178f0a3c014512" /><Relationship Type="http://schemas.openxmlformats.org/officeDocument/2006/relationships/worksheet" Target="/xl/worksheets/sheet3.xml" Id="R5b02a540a1104074" /><Relationship Type="http://schemas.openxmlformats.org/officeDocument/2006/relationships/worksheet" Target="/xl/worksheets/sheet4.xml" Id="R4bc6a07a04264127" /><Relationship Type="http://schemas.openxmlformats.org/officeDocument/2006/relationships/worksheet" Target="/xl/worksheets/sheet5.xml" Id="R56ceb83610b04b95" /><Relationship Type="http://schemas.openxmlformats.org/officeDocument/2006/relationships/worksheet" Target="/xl/worksheets/sheet6.xml" Id="R3f25b48ca73d4f2e" /><Relationship Type="http://schemas.openxmlformats.org/officeDocument/2006/relationships/worksheet" Target="/xl/worksheets/sheet7.xml" Id="Rf1da4f2a0fb84dd4" /><Relationship Type="http://schemas.openxmlformats.org/officeDocument/2006/relationships/worksheet" Target="/xl/worksheets/sheet8.xml" Id="R6f49add54bb3448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116" t="str">
        <x:v>Generated</x:v>
      </x:c>
      <x:c r="B1" s="1117" t="str">
        <x:v>Feature rows</x:v>
      </x:c>
      <x:c r="C1" s="1117" t="str">
        <x:v>Current security items</x:v>
      </x:c>
      <x:c r="D1" s="1117" t="str">
        <x:v>Next phase</x:v>
      </x:c>
      <x:c r="E1" s="1118" t="str">
        <x:v>Owner note</x:v>
      </x:c>
    </x:row>
    <x:row r="2" ht="72" customHeight="1">
      <x:c r="A2" s="1134" t="n">
        <x:v>46214</x:v>
      </x:c>
      <x:c r="B2" s="1135" t="n">
        <x:f>COUNTA('Tracker'!$A$2:$A$200)</x:f>
        <x:v>73</x:v>
      </x:c>
      <x:c r="C2" s="1135" t="n">
        <x:f>COUNTA('Current Security Queue'!$A$2:$A$200)</x:f>
        <x:v>20</x:v>
      </x:c>
      <x:c r="D2" s="1135" t="str">
        <x:v>Gate 2/3: finish BOT-001 intent/action contract and BOT-004 canonical corpus; run real-client Inline RU/UZ/EN, provider compatibility and resource-soak matrices; close remaining deployed findings and enable leaked-password protection.</x:v>
      </x:c>
      <x:c r="E2" s="1135" t="str">
        <x:v>Production release 6fb71ec8 and QA PR #75 / 74066f1 are live in main. All five post-check actions and cleanup read-back passed. BOT-001/BOT-004, real-client Inline, provider and soak evidence remain incomplete.</x:v>
      </x:c>
    </x:row>
    <x:row r="3" ht="22" customHeight="1">
      <x:c r="A3" s="629"/>
      <x:c r="B3" s="629"/>
      <x:c r="C3" s="629"/>
      <x:c r="D3" s="629"/>
      <x:c r="E3" s="629"/>
    </x:row>
    <x:row r="4" ht="26" customHeight="1">
      <x:c r="A4" s="1136" t="str">
        <x:v>Feature Status</x:v>
      </x:c>
      <x:c r="B4" s="1136" t="str">
        <x:v>Count</x:v>
      </x:c>
      <x:c r="C4" s="1136"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136" t="str">
        <x:v>Release Priority</x:v>
      </x:c>
      <x:c r="B9" s="1136" t="str">
        <x:v>Meaning</x:v>
      </x:c>
      <x:c r="C9" s="1136" t="str">
        <x:v>Count</x:v>
      </x:c>
      <x:c r="D9" s="1136"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12</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136" t="str">
        <x:v>Current Security Status</x:v>
      </x:c>
      <x:c r="B15" s="1136" t="str">
        <x:v>Count</x:v>
      </x:c>
      <x:c r="C15" s="1136"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136" t="str">
        <x:v>Release Gate State</x:v>
      </x:c>
      <x:c r="B22" s="1136" t="str">
        <x:v>Count</x:v>
      </x:c>
      <x:c r="C22" s="1136" t="str">
        <x:v>Meaning</x:v>
      </x:c>
      <x:c r="D22" s="629"/>
      <x:c r="E22" s="629"/>
    </x:row>
    <x:row r="23" ht="22" customHeight="1">
      <x:c r="A23" s="629" t="str">
        <x:v>Blocked</x:v>
      </x:c>
      <x:c r="B23" s="629" t="n">
        <x:f>COUNTIF('Release Gates'!$I$2:$I$200,A23)</x:f>
        <x:v>12</x:v>
      </x:c>
      <x:c r="C23" s="629" t="str">
        <x:v>Required evidence or work is missing.</x:v>
      </x:c>
      <x:c r="D23" s="629"/>
      <x:c r="E23" s="629"/>
    </x:row>
    <x:row r="24" ht="22" customHeight="1">
      <x:c r="A24" s="629" t="str">
        <x:v>In Progress</x:v>
      </x:c>
      <x:c r="B24" s="629" t="n">
        <x:f>COUNTIF('Release Gates'!$I$2:$I$200,A24)</x:f>
        <x:v>15</x:v>
      </x:c>
      <x:c r="C24" s="629" t="str">
        <x:v>Work started but gate is not complete.</x:v>
      </x:c>
      <x:c r="D24" s="629"/>
      <x:c r="E24" s="629"/>
    </x:row>
    <x:row r="25" ht="22" customHeight="1">
      <x:c r="A25" s="629" t="str">
        <x:v>Passed</x:v>
      </x:c>
      <x:c r="B25" s="629" t="n">
        <x:f>COUNTIF('Release Gates'!$I$2:$I$200,A25)</x:f>
        <x:v>9</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392" priority="1" operator="containsText" text="Passed"/>
    <x:cfRule type="containsText" dxfId="393" priority="2" operator="containsText" text="Fixed Local"/>
    <x:cfRule type="containsText" dxfId="394" priority="3" operator="containsText" text="Deployed"/>
    <x:cfRule type="containsText" dxfId="395" priority="4" operator="containsText" text="Closed"/>
    <x:cfRule type="containsText" dxfId="396" priority="5" operator="containsText" text="Blocked"/>
    <x:cfRule type="containsText" dxfId="397" priority="6" operator="containsText" text="Open"/>
    <x:cfRule type="containsText" dxfId="398"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116" t="str">
        <x:v>Gate ID</x:v>
      </x:c>
      <x:c r="B1" s="1117" t="str">
        <x:v>Work Item</x:v>
      </x:c>
      <x:c r="C1" s="1117" t="str">
        <x:v>Priority</x:v>
      </x:c>
      <x:c r="D1" s="1117" t="str">
        <x:v>Implementation</x:v>
      </x:c>
      <x:c r="E1" s="1117" t="str">
        <x:v>Automated QA</x:v>
      </x:c>
      <x:c r="F1" s="1117" t="str">
        <x:v>Live QA</x:v>
      </x:c>
      <x:c r="G1" s="1117" t="str">
        <x:v>Security Validation</x:v>
      </x:c>
      <x:c r="H1" s="1117" t="str">
        <x:v>Deployment</x:v>
      </x:c>
      <x:c r="I1" s="1117" t="str">
        <x:v>Release Gate</x:v>
      </x:c>
      <x:c r="J1" s="1117" t="str">
        <x:v>Evidence Date</x:v>
      </x:c>
      <x:c r="K1" s="1117" t="str">
        <x:v>Owner</x:v>
      </x:c>
      <x:c r="L1" s="1117" t="str">
        <x:v>Blocked By</x:v>
      </x:c>
      <x:c r="M1" s="1117" t="str">
        <x:v>Supersedes</x:v>
      </x:c>
      <x:c r="N1" s="1118"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Pending</x:v>
      </x:c>
      <x:c r="G23" s="615" t="str">
        <x:v>Passed Local</x:v>
      </x:c>
      <x:c r="H23" s="615" t="str">
        <x:v>Deployed</x:v>
      </x:c>
      <x:c r="I23" s="615" t="str">
        <x:v>In Progress</x:v>
      </x:c>
      <x:c r="J23" s="618" t="n">
        <x:v>46214</x:v>
      </x:c>
      <x:c r="K23" s="615" t="str">
        <x:v>DevOps</x:v>
      </x:c>
      <x:c r="L23" s="615" t="str">
        <x:v>GitHub Actions run + controlled missing-secret/restore drill</x:v>
      </x:c>
      <x:c r="M23" s="615" t="str"/>
      <x:c r="N23" s="615" t="str">
        <x:v>The scheduled workflow explicitly requires Telegram secrets; pure policy proves a required skip fails even with fail-on-warn disabled. Live Actions evidence remains. Production release: PR #71 / 6fb71ec8; migrations, polling cutover, restart and smoke evidence recorded 2026-07-11.</x:v>
      </x:c>
    </x:row>
    <x:row r="24">
      <x:c r="A24" s="615" t="str">
        <x:v>BOT-001</x:v>
      </x:c>
      <x:c r="B24" s="615" t="str">
        <x:v>Canonical Telegram intent/action taxonomy and response contract</x:v>
      </x:c>
      <x:c r="C24" s="615" t="str">
        <x:v>P1</x:v>
      </x:c>
      <x:c r="D24" s="615" t="str">
        <x:v>In Progress</x:v>
      </x:c>
      <x:c r="E24" s="615" t="str">
        <x:v>Pending</x:v>
      </x:c>
      <x:c r="F24" s="615" t="str">
        <x:v>Pending</x:v>
      </x:c>
      <x:c r="G24" s="615" t="str">
        <x:v>In Progress</x:v>
      </x:c>
      <x:c r="H24" s="615" t="str">
        <x:v>Not Deployed</x:v>
      </x:c>
      <x:c r="I24" s="615" t="str">
        <x:v>Blocked</x:v>
      </x:c>
      <x:c r="J24" s="618" t="n">
        <x:v>46214</x:v>
      </x:c>
      <x:c r="K24" s="615" t="str">
        <x:v>Telegram / Product</x:v>
      </x:c>
      <x:c r="L24" s="615" t="str">
        <x:v>Gate 1 trust contract</x:v>
      </x:c>
      <x:c r="M24" s="615" t="str"/>
      <x:c r="N24" s="615" t="str">
        <x:v>Post-check helper actions are now typed/shared; the broader direct/Inline intent and response contract remains incomplete.</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In Progress</x:v>
      </x:c>
      <x:c r="E27" s="615" t="str">
        <x:v>Pending</x:v>
      </x:c>
      <x:c r="F27" s="615" t="str">
        <x:v>Pending</x:v>
      </x:c>
      <x:c r="G27" s="615" t="str">
        <x:v>In Progress</x:v>
      </x:c>
      <x:c r="H27" s="615" t="str">
        <x:v>Not Deployed</x:v>
      </x:c>
      <x:c r="I27" s="615" t="str">
        <x:v>Blocked</x:v>
      </x:c>
      <x:c r="J27" s="618" t="n">
        <x:v>46214</x:v>
      </x:c>
      <x:c r="K27" s="615" t="str">
        <x:v>QA Automation</x:v>
      </x:c>
      <x:c r="L27" s="615" t="str">
        <x:v>BOT-001</x:v>
      </x:c>
      <x:c r="M27" s="615" t="str"/>
      <x:c r="N27" s="615" t="str">
        <x:v>The polling-compatible production harness now covers three critical multi-turn replies, but the planned 1100-row canonical corpus/dialogue DSL and broader live transcript set remain incomplete.</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Not Deployed</x:v>
      </x:c>
      <x:c r="I30" s="615" t="str">
        <x:v>Blocked</x:v>
      </x:c>
      <x:c r="J30" s="618" t="n">
        <x:v>46214</x:v>
      </x:c>
      <x:c r="K30" s="615" t="str">
        <x:v>Telegram / QA</x:v>
      </x:c>
      <x:c r="L30" s="615" t="str">
        <x:v>Gate 1 Inline deploy</x:v>
      </x:c>
      <x:c r="M30" s="615" t="str">
        <x:v>INL-P0-01..04</x:v>
      </x:c>
      <x:c r="N30" s="615" t="str">
        <x:v>55x3 reason presentations now pass through the real adapter; remaining matrix includes webhook config, faults, prefix/load and stateless follow-ups.</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378" priority="8" operator="containsText" text="Passed"/>
    <x:cfRule type="containsText" dxfId="379" priority="9" operator="containsText" text="Fixed Local"/>
    <x:cfRule type="containsText" dxfId="380" priority="10" operator="containsText" text="Deployed"/>
    <x:cfRule type="containsText" dxfId="381" priority="11" operator="containsText" text="Closed"/>
    <x:cfRule type="containsText" dxfId="382" priority="12" operator="containsText" text="Blocked"/>
    <x:cfRule type="containsText" dxfId="383" priority="13" operator="containsText" text="Open"/>
    <x:cfRule type="containsText" dxfId="384" priority="14" operator="containsText" text="In Progress"/>
  </x:conditionalFormatting>
  <x:dataValidations count="14">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116" t="str">
        <x:v>Finding ID</x:v>
      </x:c>
      <x:c r="B1" s="1117" t="str">
        <x:v>Priority</x:v>
      </x:c>
      <x:c r="C1" s="1117" t="str">
        <x:v>Area</x:v>
      </x:c>
      <x:c r="D1" s="1117" t="str">
        <x:v>Finding</x:v>
      </x:c>
      <x:c r="E1" s="1117" t="str">
        <x:v>Affected Path</x:v>
      </x:c>
      <x:c r="F1" s="1117" t="str">
        <x:v>Current Status</x:v>
      </x:c>
      <x:c r="G1" s="1117" t="str">
        <x:v>Owner</x:v>
      </x:c>
      <x:c r="H1" s="1117" t="str">
        <x:v>Gate</x:v>
      </x:c>
      <x:c r="I1" s="1117" t="str">
        <x:v>Evidence</x:v>
      </x:c>
      <x:c r="J1" s="1117" t="str">
        <x:v>Next Step</x:v>
      </x:c>
      <x:c r="K1" s="1117" t="str">
        <x:v>Acceptance Criteria</x:v>
      </x:c>
      <x:c r="L1" s="1118"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+ 2741 full tests; TypeScript/scoped lint. Prod 6fb71ec8 + QA 74066f1: migrations, no-drop polling cutover and restart passed; polling-compatible response harness verified all five post-check actions with Bot API delivery and cleanup read-back; monitor/CI green.</x:v>
      </x:c>
      <x:c r="J18" s="615" t="str">
        <x:v>Closed after production deployment and targeted post-deploy verification.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385" priority="1" operator="containsText" text="Passed"/>
    <x:cfRule type="containsText" dxfId="386" priority="2" operator="containsText" text="Fixed Local"/>
    <x:cfRule type="containsText" dxfId="387" priority="3" operator="containsText" text="Deployed"/>
    <x:cfRule type="containsText" dxfId="388" priority="4" operator="containsText" text="Closed"/>
    <x:cfRule type="containsText" dxfId="389" priority="5" operator="containsText" text="Blocked"/>
    <x:cfRule type="containsText" dxfId="390" priority="6" operator="containsText" text="Open"/>
    <x:cfRule type="containsText" dxfId="391"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