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60f078bdb214251" /></Relationships>
</file>

<file path=xl/workbook.xml><?xml version="1.0" encoding="utf-8"?>
<x:workbook xmlns:x="http://schemas.openxmlformats.org/spreadsheetml/2006/main">
  <x:sheets>
    <x:sheet xmlns:r="http://schemas.openxmlformats.org/officeDocument/2006/relationships" name="Status Summary" sheetId="1" r:id="R752edd750c7d439d"/>
    <x:sheet xmlns:r="http://schemas.openxmlformats.org/officeDocument/2006/relationships" name="Tracker" sheetId="2" r:id="Rf51954a7b3cf43ad"/>
    <x:sheet xmlns:r="http://schemas.openxmlformats.org/officeDocument/2006/relationships" name="Security Findings" sheetId="3" r:id="R56295e6b3f494817"/>
    <x:sheet xmlns:r="http://schemas.openxmlformats.org/officeDocument/2006/relationships" name="Test Queue" sheetId="4" r:id="Rc509fa81914d474f"/>
    <x:sheet xmlns:r="http://schemas.openxmlformats.org/officeDocument/2006/relationships" name="Test Errors" sheetId="5" r:id="Ra4b27414a6734dab"/>
    <x:sheet xmlns:r="http://schemas.openxmlformats.org/officeDocument/2006/relationships" name="QA Runs" sheetId="6" r:id="Ra9bec3428dd14783"/>
    <x:sheet xmlns:r="http://schemas.openxmlformats.org/officeDocument/2006/relationships" name="Release Gates" sheetId="7" r:id="R9309644b54b4491f"/>
    <x:sheet xmlns:r="http://schemas.openxmlformats.org/officeDocument/2006/relationships" name="Current Security Queue" sheetId="8" r:id="R0f1c9dc1b572465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5">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27">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xf numFmtId="0" fontId="1" fillId="202" borderId="2" xfId="0" applyNumberFormat="1" applyFont="1" applyFill="1" applyBorder="1" applyAlignment="1">
      <x:alignment vertical="center" wrapText="1"/>
    </x:xf>
    <x:xf numFmtId="0" fontId="1" fillId="202" borderId="3" xfId="0" applyNumberFormat="1" applyFont="1" applyFill="1" applyBorder="1" applyAlignment="1">
      <x:alignment vertical="center" wrapText="1"/>
    </x:xf>
    <x:xf numFmtId="0" fontId="1" fillId="202" borderId="4" xfId="0" applyNumberFormat="1" applyFont="1" applyFill="1" applyBorder="1" applyAlignment="1">
      <x:alignment vertical="center" wrapText="1"/>
    </x:xf>
    <x:xf numFmtId="0" fontId="0" fillId="202" borderId="0" xfId="0" applyNumberFormat="1" applyFont="1" applyFill="1" applyBorder="1"/>
    <x:xf numFmtId="0" fontId="1" fillId="202" borderId="0" xfId="0" applyNumberFormat="1" applyFont="1" applyFill="1" applyBorder="1"/>
    <x:xf numFmtId="0" fontId="1" fillId="202" borderId="2" xfId="0" applyNumberFormat="1" applyFont="1" applyFill="1" applyBorder="1"/>
    <x:xf numFmtId="0" fontId="1" fillId="202" borderId="3" xfId="0" applyNumberFormat="1" applyFont="1" applyFill="1" applyBorder="1"/>
    <x:xf numFmtId="0" fontId="1" fillId="202" borderId="4" xfId="0" applyNumberFormat="1" applyFont="1" applyFill="1" applyBorder="1"/>
    <x:xf numFmtId="0" fontId="1" fillId="202" borderId="2" xfId="0" applyNumberFormat="1" applyFont="1" applyFill="1" applyBorder="1" applyAlignment="1">
      <x:alignment wrapText="1"/>
    </x:xf>
    <x:xf numFmtId="0" fontId="1" fillId="202" borderId="3" xfId="0" applyNumberFormat="1" applyFont="1" applyFill="1" applyBorder="1" applyAlignment="1">
      <x:alignment wrapText="1"/>
    </x:xf>
    <x:xf numFmtId="0" fontId="1" fillId="202" borderId="4" xfId="0" applyNumberFormat="1" applyFont="1" applyFill="1" applyBorder="1" applyAlignment="1">
      <x:alignment wrapText="1"/>
    </x:xf>
    <x:xf numFmtId="0" fontId="0" fillId="203" borderId="0" xfId="0" applyNumberFormat="1" applyFont="1" applyFill="1" applyBorder="1"/>
    <x:xf numFmtId="0" fontId="1" fillId="203" borderId="0" xfId="0" applyNumberFormat="1" applyFont="1" applyFill="1" applyBorder="1"/>
    <x:xf numFmtId="0" fontId="1" fillId="203" borderId="0" xfId="0" applyNumberFormat="1" applyFont="1" applyFill="1" applyBorder="1" applyAlignment="1">
      <x:alignment wrapText="1"/>
    </x:xf>
    <x:xf numFmtId="0" fontId="0" fillId="204" borderId="0" xfId="0" applyNumberFormat="1" applyFont="1" applyFill="1" applyBorder="1"/>
    <x:xf numFmtId="0" fontId="0" fillId="204" borderId="0" xfId="0" applyNumberFormat="1" applyFont="1" applyFill="1" applyBorder="1" applyAlignment="1">
      <x:alignment wrapText="1"/>
    </x:xf>
    <x:xf numFmtId="0" fontId="0" fillId="204" borderId="0" xfId="0" applyNumberFormat="1" applyFont="1" applyFill="1" applyBorder="1" applyAlignment="1">
      <x:alignment vertical="top" wrapText="1"/>
    </x:xf>
    <x:xf numFmtId="200" fontId="0" fillId="204" borderId="0" xfId="0" applyNumberFormat="1" applyFont="1" applyFill="1" applyBorder="1" applyAlignment="1">
      <x:alignment vertical="top" wrapText="1"/>
    </x:xf>
    <x:xf numFmtId="200" fontId="0" fillId="204" borderId="8" xfId="0" applyNumberFormat="1" applyFont="1" applyFill="1" applyBorder="1" applyAlignment="1">
      <x:alignment vertical="top" wrapText="1"/>
    </x:xf>
    <x:xf numFmtId="0" fontId="0" fillId="204" borderId="8" xfId="0" applyNumberFormat="1" applyFont="1" applyFill="1" applyBorder="1" applyAlignment="1">
      <x:alignment vertical="top" wrapText="1"/>
    </x:xf>
    <x:xf numFmtId="0" fontId="1" fillId="203" borderId="9" xfId="0" applyNumberFormat="1" applyFont="1" applyFill="1" applyBorder="1" applyAlignment="1">
      <x:alignment wrapText="1"/>
    </x:xf>
    <x:xf numFmtId="200" fontId="0" fillId="0" borderId="5" xfId="0" applyNumberFormat="1" applyFont="1" applyFill="1" applyBorder="1"/>
    <x:xf numFmtId="200" fontId="0" fillId="0" borderId="6" xfId="0" applyNumberFormat="1" applyFont="1" applyFill="1" applyBorder="1"/>
    <x:xf numFmtId="200" fontId="0" fillId="0" borderId="7" xfId="0" applyNumberFormat="1" applyFont="1" applyFill="1" applyBorder="1"/>
    <x:xf numFmtId="200" fontId="0" fillId="0" borderId="5"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7" xfId="0" applyNumberFormat="1" applyFont="1" applyFill="1" applyBorder="1" applyAlignment="1">
      <x:alignment wrapText="1"/>
    </x:xf>
  </x:cellXfs>
  <x:cellStyles count="1">
    <x:cellStyle name="Normal" xfId="0"/>
  </x:cellStyles>
  <x:dxfs count="567">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x:bgColor rgb="FFDCFCE7"/>
        </x:patternFill>
      </x:fill>
    </x:dxf>
    <x:dxf>
      <x:font>
        <x:b/>
        <x:color rgb="FF166534"/>
      </x:font>
      <x:fill>
        <x:patternFill>
          <x:bgColor rgb="FFDCFCE7"/>
        </x:patternFill>
      </x:fill>
    </x:dxf>
    <x:dxf>
      <x:font>
        <x:b/>
        <x:color rgb="FF115E59"/>
      </x:font>
      <x:fill>
        <x:patternFill>
          <x:bgColor rgb="FFCCFBF1"/>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4B5563"/>
      </x:font>
      <x:fill>
        <x:patternFill>
          <x:bgColor rgb="FFF3F4F6"/>
        </x:patternFill>
      </x:fill>
    </x:dxf>
    <x:dxf>
      <x:font>
        <x:b/>
        <x:color rgb="FF166534"/>
      </x:font>
      <x:fill>
        <x:patternFill patternType="solid">
          <x:bgColor rgb="FFDCFCE7"/>
        </x:patternFill>
      </x:fill>
    </x:dxf>
    <x:dxf>
      <x:font>
        <x:b/>
        <x:color rgb="FF166534"/>
      </x:font>
      <x:fill>
        <x:patternFill patternType="solid">
          <x:bgColor rgb="FFDCFCE7"/>
        </x:patternFill>
      </x:fill>
    </x:dxf>
    <x:dxf>
      <x:font>
        <x:b/>
        <x:color rgb="FF115E59"/>
      </x:font>
      <x:fill>
        <x:patternFill patternType="solid">
          <x:bgColor rgb="FFCCFBF1"/>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4B5563"/>
      </x:font>
      <x:fill>
        <x:patternFill patternType="solid">
          <x:bgColor rgb="FFF3F4F6"/>
        </x:patternFill>
      </x:fill>
    </x:dxf>
    <x:dxf>
      <x:font>
        <x:b/>
        <x:color rgb="FF166534"/>
      </x:font>
      <x:fill>
        <x:patternFill patternType="solid">
          <x:bgColor rgb="FFDCFCE7"/>
        </x:patternFill>
      </x:fill>
    </x:dxf>
    <x:dxf>
      <x:font>
        <x:b/>
        <x:color rgb="FF166534"/>
      </x:font>
      <x:fill>
        <x:patternFill patternType="solid">
          <x:bgColor rgb="FFDCFCE7"/>
        </x:patternFill>
      </x:fill>
    </x:dxf>
    <x:dxf>
      <x:font>
        <x:b/>
        <x:color rgb="FF115E59"/>
      </x:font>
      <x:fill>
        <x:patternFill patternType="solid">
          <x:bgColor rgb="FFCCFBF1"/>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4B5563"/>
      </x:font>
      <x:fill>
        <x:patternFill patternType="solid">
          <x:bgColor rgb="FFF3F4F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4737c76f95a424d" /><Relationship Type="http://schemas.openxmlformats.org/officeDocument/2006/relationships/theme" Target="/xl/theme/theme1.xml" Id="Rb369b751902e4d0a" /><Relationship Type="http://schemas.openxmlformats.org/officeDocument/2006/relationships/sharedStrings" Target="/xl/sharedStrings.xml" Id="R20ccce445bfd4688" /><Relationship Type="http://schemas.openxmlformats.org/officeDocument/2006/relationships/worksheet" Target="/xl/worksheets/sheet1.xml" Id="R752edd750c7d439d" /><Relationship Type="http://schemas.openxmlformats.org/officeDocument/2006/relationships/worksheet" Target="/xl/worksheets/sheet2.xml" Id="Rf51954a7b3cf43ad" /><Relationship Type="http://schemas.openxmlformats.org/officeDocument/2006/relationships/worksheet" Target="/xl/worksheets/sheet3.xml" Id="R56295e6b3f494817" /><Relationship Type="http://schemas.openxmlformats.org/officeDocument/2006/relationships/worksheet" Target="/xl/worksheets/sheet4.xml" Id="Rc509fa81914d474f" /><Relationship Type="http://schemas.openxmlformats.org/officeDocument/2006/relationships/worksheet" Target="/xl/worksheets/sheet5.xml" Id="Ra4b27414a6734dab" /><Relationship Type="http://schemas.openxmlformats.org/officeDocument/2006/relationships/worksheet" Target="/xl/worksheets/sheet6.xml" Id="Ra9bec3428dd14783" /><Relationship Type="http://schemas.openxmlformats.org/officeDocument/2006/relationships/worksheet" Target="/xl/worksheets/sheet7.xml" Id="R9309644b54b4491f" /><Relationship Type="http://schemas.openxmlformats.org/officeDocument/2006/relationships/worksheet" Target="/xl/worksheets/sheet8.xml" Id="R0f1c9dc1b572465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200" t="str">
        <x:v>Generated</x:v>
      </x:c>
      <x:c r="B1" s="1201" t="str">
        <x:v>Feature rows</x:v>
      </x:c>
      <x:c r="C1" s="1201" t="str">
        <x:v>Current security items</x:v>
      </x:c>
      <x:c r="D1" s="1201" t="str">
        <x:v>Next phase</x:v>
      </x:c>
      <x:c r="E1" s="1202" t="str">
        <x:v>Owner note</x:v>
      </x:c>
    </x:row>
    <x:row r="2" ht="72" customHeight="1">
      <x:c r="A2" s="1218" t="n">
        <x:v>46215</x:v>
      </x:c>
      <x:c r="B2" s="1219" t="n">
        <x:f>COUNTA('Tracker'!$A$2:$A$200)</x:f>
        <x:v>73</x:v>
      </x:c>
      <x:c r="C2" s="1219" t="n">
        <x:f>COUNTA('Current Security Queue'!$A$2:$A$200)</x:f>
        <x:v>35</x:v>
      </x:c>
      <x:c r="D2" s="1219" t="str">
        <x:v>All 15 validated findings are fixed locally and the count-only production admin preflight is green. Next: commit and CI, apply the production migration, deploy the exact commit, run targeted trust/privacy/Inline/media/provider/monitor smokes and read-back, complete historical count-only privacy review and close a 72-hour canary. Keep broad real-client RU/UZ/EN bot/Inline evidence separate.</x:v>
      </x:c>
      <x:c r="E2" s="1219" t="str">
        <x:v>Local remediation evidence: 4222/4222 tests, TypeScript, lint (0 errors/8 existing warnings), production build, npm audit 0, 28-migration reset, pgTAP 38/38, schema lint and original-path PoCs. Production count-only admin preflight: Auth 1, admins 1, eligible 1, stale 0, missing 0. Current security rows are In Progress until deployment/read-back; no production state was changed by this verification. Canonical source and evidence copy are synchronized.</x:v>
      </x:c>
    </x:row>
    <x:row r="3" ht="22" customHeight="1">
      <x:c r="A3" s="629"/>
      <x:c r="B3" s="629"/>
      <x:c r="C3" s="629"/>
      <x:c r="D3" s="629"/>
      <x:c r="E3" s="629"/>
    </x:row>
    <x:row r="4" ht="26" customHeight="1">
      <x:c r="A4" s="1220" t="str">
        <x:v>Feature Status</x:v>
      </x:c>
      <x:c r="B4" s="1220" t="str">
        <x:v>Count</x:v>
      </x:c>
      <x:c r="C4" s="1220"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220" t="str">
        <x:v>Release Priority</x:v>
      </x:c>
      <x:c r="B9" s="1220" t="str">
        <x:v>Meaning</x:v>
      </x:c>
      <x:c r="C9" s="1220" t="str">
        <x:v>Count</x:v>
      </x:c>
      <x:c r="D9" s="1220"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13</x:v>
      </x:c>
      <x:c r="D11" s="629" t="n">
        <x:v>2</x:v>
      </x:c>
      <x:c r="E11" s="629"/>
    </x:row>
    <x:row r="12" ht="22" customHeight="1">
      <x:c r="A12" s="629" t="str">
        <x:v>P2</x:v>
      </x:c>
      <x:c r="B12" s="629" t="str">
        <x:v>Operational/privacy hardening</x:v>
      </x:c>
      <x:c r="C12" s="629" t="n">
        <x:f>COUNTIF('Release Gates'!$C$2:$C$200,A12)</x:f>
        <x:v>14</x:v>
      </x:c>
      <x:c r="D12" s="629" t="n">
        <x:v>3</x:v>
      </x:c>
      <x:c r="E12" s="629"/>
    </x:row>
    <x:row r="13" ht="22" customHeight="1">
      <x:c r="A13" s="629" t="str">
        <x:v>P3</x:v>
      </x:c>
      <x:c r="B13" s="629" t="str">
        <x:v>Post-gate polish</x:v>
      </x:c>
      <x:c r="C13" s="629" t="n">
        <x:f>COUNTIF('Release Gates'!$C$2:$C$200,A13)</x:f>
        <x:v>5</x:v>
      </x:c>
      <x:c r="D13" s="629" t="n">
        <x:v>4</x:v>
      </x:c>
      <x:c r="E13" s="629"/>
    </x:row>
    <x:row r="14" ht="22" customHeight="1">
      <x:c r="A14" s="629"/>
      <x:c r="B14" s="629"/>
      <x:c r="C14" s="629"/>
      <x:c r="D14" s="629"/>
      <x:c r="E14" s="629"/>
    </x:row>
    <x:row r="15" ht="26" customHeight="1">
      <x:c r="A15" s="1220" t="str">
        <x:v>Current Security Status</x:v>
      </x:c>
      <x:c r="B15" s="1220" t="str">
        <x:v>Count</x:v>
      </x:c>
      <x:c r="C15" s="1220"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15</x:v>
      </x:c>
      <x:c r="C17" s="629" t="str">
        <x:v>Local fixes and regressions pass; deployment/read-back is pending.</x:v>
      </x:c>
      <x:c r="D17" s="629"/>
      <x:c r="E17" s="629"/>
    </x:row>
    <x:row r="18" ht="22" customHeight="1">
      <x:c r="A18" s="629" t="str">
        <x:v>Deployed / Awaiting Live Verification</x:v>
      </x:c>
      <x:c r="B18" s="629" t="n">
        <x:f>COUNTIF('Current Security Queue'!$F$2:$F$200,A18)</x:f>
        <x:v>16</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220" t="str">
        <x:v>Release Gate State</x:v>
      </x:c>
      <x:c r="B22" s="1220" t="str">
        <x:v>Count</x:v>
      </x:c>
      <x:c r="C22" s="1220" t="str">
        <x:v>Meaning</x:v>
      </x:c>
      <x:c r="D22" s="629"/>
      <x:c r="E22" s="629"/>
    </x:row>
    <x:row r="23" ht="22" customHeight="1">
      <x:c r="A23" s="629" t="str">
        <x:v>Blocked</x:v>
      </x:c>
      <x:c r="B23" s="629" t="n">
        <x:f>COUNTIF('Release Gates'!$I$2:$I$200,A23)</x:f>
        <x:v>20</x:v>
      </x:c>
      <x:c r="C23" s="629" t="str">
        <x:v>Required evidence or work is missing.</x:v>
      </x:c>
      <x:c r="D23" s="629"/>
      <x:c r="E23" s="629"/>
    </x:row>
    <x:row r="24" ht="22" customHeight="1">
      <x:c r="A24" s="629" t="str">
        <x:v>In Progress</x:v>
      </x:c>
      <x:c r="B24" s="629" t="n">
        <x:f>COUNTIF('Release Gates'!$I$2:$I$200,A24)</x:f>
        <x:v>15</x:v>
      </x:c>
      <x:c r="C24" s="629" t="str">
        <x:v>Work started but gate is not complete.</x:v>
      </x:c>
      <x:c r="D24" s="629"/>
      <x:c r="E24" s="629"/>
    </x:row>
    <x:row r="25" ht="22" customHeight="1">
      <x:c r="A25" s="629" t="str">
        <x:v>Passed</x:v>
      </x:c>
      <x:c r="B25" s="629" t="n">
        <x:f>COUNTIF('Release Gates'!$I$2:$I$200,A25)</x:f>
        <x:v>11</x:v>
      </x:c>
      <x:c r="C25" s="629" t="str">
        <x:v>All required evidence for the row is present.</x:v>
      </x:c>
      <x:c r="D25" s="629"/>
      <x:c r="E25" s="629"/>
    </x:row>
    <x:row r="26" ht="22" customHeight="1">
      <x:c r="A26" s="631" t="str">
        <x:v>Deferred</x:v>
      </x:c>
      <x:c r="B26" s="631" t="n">
        <x:f>COUNTIF('Release Gates'!$I$2:$I$200,A26)</x:f>
        <x:v>5</x:v>
      </x:c>
      <x:c r="C26" s="631" t="str">
        <x:v>Outside the current release scope.</x:v>
      </x:c>
      <x:c r="D26" s="631"/>
      <x:c r="E26" s="631"/>
    </x:row>
  </x:sheetData>
  <x:conditionalFormatting sqref="A16:B26">
    <x:cfRule type="containsText" dxfId="476" priority="1" operator="containsText" text="Passed"/>
    <x:cfRule type="containsText" dxfId="477" priority="2" operator="containsText" text="Fixed Local"/>
    <x:cfRule type="containsText" dxfId="478" priority="3" operator="containsText" text="Deployed"/>
    <x:cfRule type="containsText" dxfId="479" priority="4" operator="containsText" text="Closed"/>
    <x:cfRule type="containsText" dxfId="480" priority="5" operator="containsText" text="Blocked"/>
    <x:cfRule type="containsText" dxfId="481" priority="6" operator="containsText" text="Open"/>
    <x:cfRule type="containsText" dxfId="482"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row r="95">
      <x:c r="A95" t="str">
        <x:v>QA-TELEGRAM-CONTRACT-PROD-2026-07-12</x:v>
      </x:c>
      <x:c r="B95" s="1097" t="n">
        <x:v>46215</x:v>
      </x:c>
      <x:c r="C95" t="str">
        <x:v>Canonical Telegram contract production deployment and bounded live dispatch QA</x:v>
      </x:c>
      <x:c r="D95" t="str">
        <x:v>Railway deployment 37a91c7a from clean main 4050172; healthz; polling-aware monitor:prod; prod:telegram-polling-dispatch-smoke</x:v>
      </x:c>
      <x:c r="E95" t="str">
        <x:v>Passed: deployment SUCCESS; home/health 200; polling webhook boundary 401/503; getMe, pending=0, singleton leader and AI provider passed; confidence, trusted-person, recheck, disagreement and domain-methodology replies passed; Bot API replies and synthetic DB rows were cleaned up.</x:v>
      </x:c>
      <x:c r="F95" t="str">
        <x:v>BOT-001, BOT-004, BOT-006</x:v>
      </x:c>
      <x:c r="G95" t="str">
        <x:v>The dispatch harness was restricted to TELEGRAM_QA_CHAT_ID, acquired no polling lease and did not expose identifiers. Follow-ups reused prior results, did not auto-alert a trusted person, did not pretend to re-run analysis and stayed non-accusatory. The legacy webhook-only prod:smoke reported its expected polling-mode 503/empty-URL mismatch; the polling-aware monitor passed.</x:v>
      </x:c>
      <x:c r="H95" t="str">
        <x:v>BOT-001 is release-passed. Continue BOT-004 with broader real Telegram Desktop/Android/iOS RU/UZ/EN transcripts and keep Inline visual delivery separate because it requires a real client-generated inline_query_id.</x:v>
      </x:c>
    </x:row>
    <x:row r="96">
      <x:c r="A96" t="str">
        <x:v>QA-SECURITY-REVALIDATION-2026-07-12</x:v>
      </x:c>
      <x:c r="B96" s="1097" t="n">
        <x:v>46215</x:v>
      </x:c>
      <x:c r="C96" t="str">
        <x:v>Full repository security revalidation</x:v>
      </x:c>
      <x:c r="D96" t="str">
        <x:v>388-file inventory; 109 review receipts; 62 raw candidates; 38 independently validated; 24 attack-path candidates; local canonical finalizer and report validator; 4135 tests; TypeScript/lint/build/npm audit; production health/monitor read-only checks</x:v>
      </x:c>
      <x:c r="E96" t="str">
        <x:v>Completed: 15 final instances (1 High, 9 Medium, 5 Low), 27 reviewed surfaces, 5 explicitly deferred live/product-intent questions.</x:v>
      </x:c>
      <x:c r="F96" t="str">
        <x:v>RC-001, OPS-001, SEC-2026-0712-001..015</x:v>
      </x:c>
      <x:c r="G96" t="str">
        <x:v>No production data, secrets or repository source changed. Reports, JSON, hardening portfolio and PoCs are in outputs/security_revalidation_2026-07-12.</x:v>
      </x:c>
      <x:c r="H96" t="str">
        <x:v>Fix High/P1 first, then nine Medium/P2; keep five Low/P3 tracked. Re-run all original probes, deploy, run targeted smokes and 72-hour canary.</x:v>
      </x:c>
    </x:row>
    <x:row r="97">
      <x:c r="A97" t="str">
        <x:v>QA-SECURITY-FIX-VERIFICATION-2026-07-12</x:v>
      </x:c>
      <x:c r="B97" s="1097" t="n">
        <x:v>46215</x:v>
      </x:c>
      <x:c r="C97" t="str">
        <x:v>Local remediation verification for 15 revalidation findings</x:v>
      </x:c>
      <x:c r="D97" t="str">
        <x:v>npm run test:run; npx tsc --noEmit; npm run lint; npm run build; npm audit --audit-level=low; supabase db reset --local --yes; supabase test db --local; supabase db lint --local --level error --fail-on error; railway run npm run admin-role:preflight; fixed-state and old-assertion PoCs</x:v>
      </x:c>
      <x:c r="E97" t="str">
        <x:v>Passed locally: 4222/4222 tests; TypeScript; lint 0 errors/8 existing warnings; build; npm audit 0; 28 migrations; pgTAP 38/38; schema lint; fixed-state redaction/QR; old contact/provider/domain/Inline/public-post/moderation/passport/media-order assertions rejected. Production count-only admin preflight passed: Auth 1, admins 1, eligible 1, stale 0, missing 0.</x:v>
      </x:c>
      <x:c r="F97" t="str">
        <x:v>SEC-2026-0712-001..015, OPS-001, RC-001</x:v>
      </x:c>
      <x:c r="G97" t="str">
        <x:v>No production deployment, migration or production-data mutation. The production admin preflight was read-only and logged counts only. One external appeal PoC is excluded by the repository Vitest include pattern; the equivalent real mocked-insert regression is included in the green suite. GitHub action tag SHAs were verified with git ls-remote.</x:v>
      </x:c>
      <x:c r="H97" t="str">
        <x:v>Commit and run CI; apply the production migration; deploy exact commit; run target smokes/read-back; historical count-only privacy review; 72-hour canary; then reclassify findings.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200" t="str">
        <x:v>Gate ID</x:v>
      </x:c>
      <x:c r="B1" s="1201" t="str">
        <x:v>Work Item</x:v>
      </x:c>
      <x:c r="C1" s="1201" t="str">
        <x:v>Priority</x:v>
      </x:c>
      <x:c r="D1" s="1201" t="str">
        <x:v>Implementation</x:v>
      </x:c>
      <x:c r="E1" s="1201" t="str">
        <x:v>Automated QA</x:v>
      </x:c>
      <x:c r="F1" s="1201" t="str">
        <x:v>Live QA</x:v>
      </x:c>
      <x:c r="G1" s="1201" t="str">
        <x:v>Security Validation</x:v>
      </x:c>
      <x:c r="H1" s="1201" t="str">
        <x:v>Deployment</x:v>
      </x:c>
      <x:c r="I1" s="1201" t="str">
        <x:v>Release Gate</x:v>
      </x:c>
      <x:c r="J1" s="1201" t="str">
        <x:v>Evidence Date</x:v>
      </x:c>
      <x:c r="K1" s="1201" t="str">
        <x:v>Owner</x:v>
      </x:c>
      <x:c r="L1" s="1201" t="str">
        <x:v>Blocked By</x:v>
      </x:c>
      <x:c r="M1" s="1201" t="str">
        <x:v>Supersedes</x:v>
      </x:c>
      <x:c r="N1" s="1202"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Passed</x:v>
      </x:c>
      <x:c r="G24" s="615" t="str">
        <x:v>Passed</x:v>
      </x:c>
      <x:c r="H24" s="615" t="str">
        <x:v>Deployed</x:v>
      </x:c>
      <x:c r="I24" s="615" t="str">
        <x:v>Passed</x:v>
      </x:c>
      <x:c r="J24" s="618" t="n">
        <x:v>46215</x:v>
      </x:c>
      <x:c r="K24" s="615" t="str">
        <x:v>Telegram / Product</x:v>
      </x:c>
      <x:c r="L24" s="615" t="str"/>
      <x:c r="M24" s="615" t="str"/>
      <x:c r="N24" s="615" t="str">
        <x:v>Canonical meta.*, victim.*, followup.*, panic.* and input.risk_check registry binds response actions to direct/Inline persistence, trusted-contact and reply-size boundaries. PR #79 / b4cabb9 passed 4135/4135 full and 3431/3431 Telegram tests plus GitHub app and Supabase CI. Railway deployment 37a91c7a from clean main 4050172 succeeded after plan renewal; health 200, polling-aware production monitor passed, and the bounded five-action production dispatch smoke passed with Bot API/synthetic DB cleanup read-back.</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x:v>
      </x:c>
      <x:c r="H27" s="615" t="str">
        <x:v>Deployed</x:v>
      </x:c>
      <x:c r="I27" s="615" t="str">
        <x:v>In Progress</x:v>
      </x:c>
      <x:c r="J27" s="618" t="n">
        <x:v>46215</x:v>
      </x:c>
      <x:c r="K27" s="615" t="str">
        <x:v>QA Automation</x:v>
      </x:c>
      <x:c r="L27" s="615" t="str"/>
      <x:c r="M27" s="615" t="str"/>
      <x:c r="N27" s="615" t="str">
        <x:v>Deterministic DSL covers 13 follow-up actions x 3 languages x 4 surface variants x 8 contexts = 1248 unique rows; all 238 actual legacy live-matrix rows map to canonical contracts. PR #79 / b4cabb9 is deployed via Railway 37a91c7a; polling monitor and the five-action production dispatch smoke passed. Broader real Telegram-client RU/UZ/EN transcripts remain required; generated rows are not claimed as independent live conversations.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Deployed</x:v>
      </x:c>
      <x:c r="I30" s="615" t="str">
        <x:v>Blocked</x:v>
      </x:c>
      <x:c r="J30" s="618" t="n">
        <x:v>46214</x:v>
      </x:c>
      <x:c r="K30" s="615" t="str">
        <x:v>Telegram / QA</x:v>
      </x:c>
      <x:c r="L30" s="615" t="str">
        <x:v>Telegram Desktop/Android/iOS real-client visual and insertion QA</x:v>
      </x:c>
      <x:c r="M30" s="615" t="str">
        <x:v>INL-P0-01..04</x:v>
      </x:c>
      <x:c r="N30" s="615" t="str">
        <x:v>Backend is deployed at 4bd9403. Automated Inline protocol/privacy coverage is green; real-client visual/insertion evidence remains the blocker.</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row r="38">
      <x:c r="A38" s="614" t="str">
        <x:v>SEC-2026-0712-001</x:v>
      </x:c>
      <x:c r="B38" s="614" t="str">
        <x:v>Embedded official contact tokens can mark unrelated attacker content Safe</x:v>
      </x:c>
      <x:c r="C38" s="614" t="str">
        <x:v>P1</x:v>
      </x:c>
      <x:c r="D38" s="614" t="str">
        <x:v>Fixed Local</x:v>
      </x:c>
      <x:c r="E38" s="614" t="str">
        <x:v>Passed</x:v>
      </x:c>
      <x:c r="F38" s="614" t="str">
        <x:v>Pending</x:v>
      </x:c>
      <x:c r="G38" s="614" t="str">
        <x:v>Passed Local</x:v>
      </x:c>
      <x:c r="H38" s="614" t="str">
        <x:v>Not Deployed</x:v>
      </x:c>
      <x:c r="I38" s="614" t="str">
        <x:v>Blocked</x:v>
      </x:c>
      <x:c r="J38" s="617" t="n">
        <x:v>46215</x:v>
      </x:c>
      <x:c r="K38" s="614" t="str">
        <x:v>Risk Engine</x:v>
      </x:c>
      <x:c r="L38" s="614" t="str">
        <x:v>SEC-2026-0712-001</x:v>
      </x:c>
      <x:c r="M38" s="614"/>
      <x:c r="N38" s="614" t="str">
        <x:v>High/P1 fixed locally with regression and original-path proof. Deployment, targeted live/read-back verification and tracker reconciliation remain release blockers.</x:v>
      </x:c>
    </x:row>
    <x:row r="39">
      <x:c r="A39" s="615" t="str">
        <x:v>SEC-2026-0712-002</x:v>
      </x:c>
      <x:c r="B39" s="615" t="str">
        <x:v>Public reports retain passwords, separated OTPs and recovery phrases</x:v>
      </x:c>
      <x:c r="C39" s="615" t="str">
        <x:v>P2</x:v>
      </x:c>
      <x:c r="D39" s="615" t="str">
        <x:v>Fixed Local</x:v>
      </x:c>
      <x:c r="E39" s="615" t="str">
        <x:v>Passed</x:v>
      </x:c>
      <x:c r="F39" s="615" t="str">
        <x:v>Pending</x:v>
      </x:c>
      <x:c r="G39" s="615" t="str">
        <x:v>Passed Local</x:v>
      </x:c>
      <x:c r="H39" s="615" t="str">
        <x:v>Not Deployed</x:v>
      </x:c>
      <x:c r="I39" s="615" t="str">
        <x:v>Blocked</x:v>
      </x:c>
      <x:c r="J39" s="618" t="n">
        <x:v>46215</x:v>
      </x:c>
      <x:c r="K39" s="615" t="str">
        <x:v>Privacy / Backend</x:v>
      </x:c>
      <x:c r="L39" s="615" t="str">
        <x:v>SEC-2026-0712-002</x:v>
      </x:c>
      <x:c r="M39" s="615"/>
      <x:c r="N39" s="615" t="str">
        <x:v>Medium/P2 fixed locally with regression and original-path proof. Deployment, targeted live/read-back verification and tracker reconciliation remain release blockers.</x:v>
      </x:c>
    </x:row>
    <x:row r="40">
      <x:c r="A40" s="615" t="str">
        <x:v>SEC-2026-0712-003</x:v>
      </x:c>
      <x:c r="B40" s="615" t="str">
        <x:v>Appeal reason/contact fields can retain secrets</x:v>
      </x:c>
      <x:c r="C40" s="615" t="str">
        <x:v>P2</x:v>
      </x:c>
      <x:c r="D40" s="615" t="str">
        <x:v>Fixed Local</x:v>
      </x:c>
      <x:c r="E40" s="615" t="str">
        <x:v>Passed</x:v>
      </x:c>
      <x:c r="F40" s="615" t="str">
        <x:v>Pending</x:v>
      </x:c>
      <x:c r="G40" s="615" t="str">
        <x:v>Passed Local</x:v>
      </x:c>
      <x:c r="H40" s="615" t="str">
        <x:v>Not Deployed</x:v>
      </x:c>
      <x:c r="I40" s="615" t="str">
        <x:v>Blocked</x:v>
      </x:c>
      <x:c r="J40" s="618" t="n">
        <x:v>46215</x:v>
      </x:c>
      <x:c r="K40" s="615" t="str">
        <x:v>Privacy / Backend</x:v>
      </x:c>
      <x:c r="L40" s="615" t="str">
        <x:v>SEC-2026-0712-003</x:v>
      </x:c>
      <x:c r="M40" s="615"/>
      <x:c r="N40" s="615" t="str">
        <x:v>Medium/P2 fixed locally with regression and original-path proof. Deployment, targeted live/read-back verification and tracker reconciliation remain release blockers.</x:v>
      </x:c>
    </x:row>
    <x:row r="41">
      <x:c r="A41" s="615" t="str">
        <x:v>SEC-2026-0712-004</x:v>
      </x:c>
      <x:c r="B41" s="615" t="str">
        <x:v>Decoded QR credentials can be retained in check records</x:v>
      </x:c>
      <x:c r="C41" s="615" t="str">
        <x:v>P2</x:v>
      </x:c>
      <x:c r="D41" s="615" t="str">
        <x:v>Fixed Local</x:v>
      </x:c>
      <x:c r="E41" s="615" t="str">
        <x:v>Passed</x:v>
      </x:c>
      <x:c r="F41" s="615" t="str">
        <x:v>Pending</x:v>
      </x:c>
      <x:c r="G41" s="615" t="str">
        <x:v>Passed Local</x:v>
      </x:c>
      <x:c r="H41" s="615" t="str">
        <x:v>Not Deployed</x:v>
      </x:c>
      <x:c r="I41" s="615" t="str">
        <x:v>Blocked</x:v>
      </x:c>
      <x:c r="J41" s="618" t="n">
        <x:v>46215</x:v>
      </x:c>
      <x:c r="K41" s="615" t="str">
        <x:v>Media / Privacy</x:v>
      </x:c>
      <x:c r="L41" s="615" t="str">
        <x:v>SEC-2026-0712-004</x:v>
      </x:c>
      <x:c r="M41" s="615"/>
      <x:c r="N41" s="615" t="str">
        <x:v>Medium/P2 fixed locally with regression and original-path proof. Deployment, targeted live/read-back verification and tracker reconciliation remain release blockers.</x:v>
      </x:c>
    </x:row>
    <x:row r="42">
      <x:c r="A42" s="615" t="str">
        <x:v>SEC-2026-0712-005</x:v>
      </x:c>
      <x:c r="B42" s="615" t="str">
        <x:v>Inline results can republish secrets into selected chats</x:v>
      </x:c>
      <x:c r="C42" s="615" t="str">
        <x:v>P2</x:v>
      </x:c>
      <x:c r="D42" s="615" t="str">
        <x:v>Fixed Local</x:v>
      </x:c>
      <x:c r="E42" s="615" t="str">
        <x:v>Passed</x:v>
      </x:c>
      <x:c r="F42" s="615" t="str">
        <x:v>Pending</x:v>
      </x:c>
      <x:c r="G42" s="615" t="str">
        <x:v>Passed Local</x:v>
      </x:c>
      <x:c r="H42" s="615" t="str">
        <x:v>Not Deployed</x:v>
      </x:c>
      <x:c r="I42" s="615" t="str">
        <x:v>Blocked</x:v>
      </x:c>
      <x:c r="J42" s="618" t="n">
        <x:v>46215</x:v>
      </x:c>
      <x:c r="K42" s="615" t="str">
        <x:v>Telegram / Privacy</x:v>
      </x:c>
      <x:c r="L42" s="615" t="str">
        <x:v>SEC-2026-0712-005</x:v>
      </x:c>
      <x:c r="M42" s="615"/>
      <x:c r="N42" s="615" t="str">
        <x:v>Medium/P2 fixed locally with regression and original-path proof. Deployment, targeted live/read-back verification and tracker reconciliation remain release blockers.</x:v>
      </x:c>
    </x:row>
    <x:row r="43">
      <x:c r="A43" s="615" t="str">
        <x:v>SEC-2026-0712-006</x:v>
      </x:c>
      <x:c r="B43" s="615" t="str">
        <x:v>Public-post checks can retain passwords and recovery phrases</x:v>
      </x:c>
      <x:c r="C43" s="615" t="str">
        <x:v>P3</x:v>
      </x:c>
      <x:c r="D43" s="615" t="str">
        <x:v>Fixed Local</x:v>
      </x:c>
      <x:c r="E43" s="615" t="str">
        <x:v>Passed</x:v>
      </x:c>
      <x:c r="F43" s="615" t="str">
        <x:v>Pending</x:v>
      </x:c>
      <x:c r="G43" s="615" t="str">
        <x:v>Passed Local</x:v>
      </x:c>
      <x:c r="H43" s="615" t="str">
        <x:v>Not Deployed</x:v>
      </x:c>
      <x:c r="I43" s="615" t="str">
        <x:v>Deferred</x:v>
      </x:c>
      <x:c r="J43" s="618" t="n">
        <x:v>46215</x:v>
      </x:c>
      <x:c r="K43" s="615" t="str">
        <x:v>Telegram / Privacy</x:v>
      </x:c>
      <x:c r="L43" s="615" t="str">
        <x:v>SEC-2026-0712-006</x:v>
      </x:c>
      <x:c r="M43" s="615"/>
      <x:c r="N43" s="615" t="str">
        <x:v>Low/P3 fixed locally with regression and original-path proof. The item remains post-gate Deferred until the deployment/read-back cycle.</x:v>
      </x:c>
    </x:row>
    <x:row r="44">
      <x:c r="A44" s="615" t="str">
        <x:v>SEC-2026-0712-007</x:v>
      </x:c>
      <x:c r="B44" s="615" t="str">
        <x:v>Report metadata can forward secrets to moderator Telegram</x:v>
      </x:c>
      <x:c r="C44" s="615" t="str">
        <x:v>P3</x:v>
      </x:c>
      <x:c r="D44" s="615" t="str">
        <x:v>Fixed Local</x:v>
      </x:c>
      <x:c r="E44" s="615" t="str">
        <x:v>Passed</x:v>
      </x:c>
      <x:c r="F44" s="615" t="str">
        <x:v>Pending</x:v>
      </x:c>
      <x:c r="G44" s="615" t="str">
        <x:v>Passed Local</x:v>
      </x:c>
      <x:c r="H44" s="615" t="str">
        <x:v>Not Deployed</x:v>
      </x:c>
      <x:c r="I44" s="615" t="str">
        <x:v>Deferred</x:v>
      </x:c>
      <x:c r="J44" s="618" t="n">
        <x:v>46215</x:v>
      </x:c>
      <x:c r="K44" s="615" t="str">
        <x:v>Telegram / Moderation</x:v>
      </x:c>
      <x:c r="L44" s="615" t="str">
        <x:v>SEC-2026-0712-007</x:v>
      </x:c>
      <x:c r="M44" s="615"/>
      <x:c r="N44" s="615" t="str">
        <x:v>Low/P3 fixed locally with regression and original-path proof. The item remains post-gate Deferred until the deployment/read-back cycle.</x:v>
      </x:c>
    </x:row>
    <x:row r="45">
      <x:c r="A45" s="615" t="str">
        <x:v>SEC-2026-0712-008</x:v>
      </x:c>
      <x:c r="B45" s="615" t="str">
        <x:v>Removed admin eligibility is not revoked from durable roles</x:v>
      </x:c>
      <x:c r="C45" s="615" t="str">
        <x:v>P2</x:v>
      </x:c>
      <x:c r="D45" s="615" t="str">
        <x:v>Fixed Local</x:v>
      </x:c>
      <x:c r="E45" s="615" t="str">
        <x:v>Passed</x:v>
      </x:c>
      <x:c r="F45" s="615" t="str">
        <x:v>Pending</x:v>
      </x:c>
      <x:c r="G45" s="615" t="str">
        <x:v>Passed Local</x:v>
      </x:c>
      <x:c r="H45" s="615" t="str">
        <x:v>Not Deployed</x:v>
      </x:c>
      <x:c r="I45" s="615" t="str">
        <x:v>Blocked</x:v>
      </x:c>
      <x:c r="J45" s="618" t="n">
        <x:v>46215</x:v>
      </x:c>
      <x:c r="K45" s="615" t="str">
        <x:v>Data / Security</x:v>
      </x:c>
      <x:c r="L45" s="615" t="str">
        <x:v>SEC-2026-0712-008</x:v>
      </x:c>
      <x:c r="M45" s="615"/>
      <x:c r="N45" s="615" t="str">
        <x:v>Medium/P2 fixed locally with regression and original-path proof. Deployment, targeted live/read-back verification and tracker reconciliation remain release blockers.</x:v>
      </x:c>
    </x:row>
    <x:row r="46">
      <x:c r="A46" s="615" t="str">
        <x:v>SEC-2026-0712-009</x:v>
      </x:c>
      <x:c r="B46" s="615" t="str">
        <x:v>Embed meta-intents bypass shared limit and append telemetry</x:v>
      </x:c>
      <x:c r="C46" s="615" t="str">
        <x:v>P2</x:v>
      </x:c>
      <x:c r="D46" s="615" t="str">
        <x:v>Fixed Local</x:v>
      </x:c>
      <x:c r="E46" s="615" t="str">
        <x:v>Passed</x:v>
      </x:c>
      <x:c r="F46" s="615" t="str">
        <x:v>Pending</x:v>
      </x:c>
      <x:c r="G46" s="615" t="str">
        <x:v>Passed Local</x:v>
      </x:c>
      <x:c r="H46" s="615" t="str">
        <x:v>Not Deployed</x:v>
      </x:c>
      <x:c r="I46" s="615" t="str">
        <x:v>Blocked</x:v>
      </x:c>
      <x:c r="J46" s="618" t="n">
        <x:v>46215</x:v>
      </x:c>
      <x:c r="K46" s="615" t="str">
        <x:v>Backend / Data</x:v>
      </x:c>
      <x:c r="L46" s="615" t="str">
        <x:v>SEC-2026-0712-009</x:v>
      </x:c>
      <x:c r="M46" s="615"/>
      <x:c r="N46" s="615" t="str">
        <x:v>Medium/P2 fixed locally with regression and original-path proof. Deployment, targeted live/read-back verification and tracker reconciliation remain release blockers.</x:v>
      </x:c>
    </x:row>
    <x:row r="47">
      <x:c r="A47" s="615" t="str">
        <x:v>SEC-2026-0712-010</x:v>
      </x:c>
      <x:c r="B47" s="615" t="str">
        <x:v>Production-monitor secrets are visible to mutable setup code</x:v>
      </x:c>
      <x:c r="C47" s="615" t="str">
        <x:v>P2</x:v>
      </x:c>
      <x:c r="D47" s="615" t="str">
        <x:v>Fixed Local</x:v>
      </x:c>
      <x:c r="E47" s="615" t="str">
        <x:v>Passed</x:v>
      </x:c>
      <x:c r="F47" s="615" t="str">
        <x:v>Pending</x:v>
      </x:c>
      <x:c r="G47" s="615" t="str">
        <x:v>Passed Local</x:v>
      </x:c>
      <x:c r="H47" s="615" t="str">
        <x:v>Not Deployed</x:v>
      </x:c>
      <x:c r="I47" s="615" t="str">
        <x:v>Blocked</x:v>
      </x:c>
      <x:c r="J47" s="618" t="n">
        <x:v>46215</x:v>
      </x:c>
      <x:c r="K47" s="615" t="str">
        <x:v>DevOps / Security</x:v>
      </x:c>
      <x:c r="L47" s="615" t="str">
        <x:v>SEC-2026-0712-010</x:v>
      </x:c>
      <x:c r="M47" s="615"/>
      <x:c r="N47" s="615" t="str">
        <x:v>Medium/P2 fixed locally with regression and original-path proof. Deployment, targeted live/read-back verification and tracker reconciliation remain release blockers.</x:v>
      </x:c>
    </x:row>
    <x:row r="48">
      <x:c r="A48" s="615" t="str">
        <x:v>SEC-2026-0712-011</x:v>
      </x:c>
      <x:c r="B48" s="615" t="str">
        <x:v>Report images download before shared media admission</x:v>
      </x:c>
      <x:c r="C48" s="615" t="str">
        <x:v>P2</x:v>
      </x:c>
      <x:c r="D48" s="615" t="str">
        <x:v>Fixed Local</x:v>
      </x:c>
      <x:c r="E48" s="615" t="str">
        <x:v>Passed</x:v>
      </x:c>
      <x:c r="F48" s="615" t="str">
        <x:v>Pending</x:v>
      </x:c>
      <x:c r="G48" s="615" t="str">
        <x:v>Passed Local</x:v>
      </x:c>
      <x:c r="H48" s="615" t="str">
        <x:v>Not Deployed</x:v>
      </x:c>
      <x:c r="I48" s="615" t="str">
        <x:v>Blocked</x:v>
      </x:c>
      <x:c r="J48" s="618" t="n">
        <x:v>46215</x:v>
      </x:c>
      <x:c r="K48" s="615" t="str">
        <x:v>Telegram / Platform</x:v>
      </x:c>
      <x:c r="L48" s="615" t="str">
        <x:v>SEC-2026-0712-011</x:v>
      </x:c>
      <x:c r="M48" s="615"/>
      <x:c r="N48" s="615" t="str">
        <x:v>Medium/P2 fixed locally with regression and original-path proof. Deployment, targeted live/read-back verification and tracker reconciliation remain release blockers.</x:v>
      </x:c>
    </x:row>
    <x:row r="49">
      <x:c r="A49" s="615" t="str">
        <x:v>SEC-2026-0712-012</x:v>
      </x:c>
      <x:c r="B49" s="615" t="str">
        <x:v>Benign provider evidence can omit phishing URL and return Safe</x:v>
      </x:c>
      <x:c r="C49" s="615" t="str">
        <x:v>P2</x:v>
      </x:c>
      <x:c r="D49" s="615" t="str">
        <x:v>Fixed Local</x:v>
      </x:c>
      <x:c r="E49" s="615" t="str">
        <x:v>Passed</x:v>
      </x:c>
      <x:c r="F49" s="615" t="str">
        <x:v>Pending</x:v>
      </x:c>
      <x:c r="G49" s="615" t="str">
        <x:v>Passed Local</x:v>
      </x:c>
      <x:c r="H49" s="615" t="str">
        <x:v>Not Deployed</x:v>
      </x:c>
      <x:c r="I49" s="615" t="str">
        <x:v>Blocked</x:v>
      </x:c>
      <x:c r="J49" s="618" t="n">
        <x:v>46215</x:v>
      </x:c>
      <x:c r="K49" s="615" t="str">
        <x:v>AI / Risk</x:v>
      </x:c>
      <x:c r="L49" s="615" t="str">
        <x:v>SEC-2026-0712-012</x:v>
      </x:c>
      <x:c r="M49" s="615"/>
      <x:c r="N49" s="615" t="str">
        <x:v>Medium/P2 fixed locally with regression and original-path proof. Deployment, targeted live/read-back verification and tracker reconciliation remain release blockers.</x:v>
      </x:c>
    </x:row>
    <x:row r="50">
      <x:c r="A50" s="615" t="str">
        <x:v>SEC-2026-0712-013</x:v>
      </x:c>
      <x:c r="B50" s="615" t="str">
        <x:v>Official-domain skeleton collisions suppress brand detection</x:v>
      </x:c>
      <x:c r="C50" s="615" t="str">
        <x:v>P3</x:v>
      </x:c>
      <x:c r="D50" s="615" t="str">
        <x:v>Fixed Local</x:v>
      </x:c>
      <x:c r="E50" s="615" t="str">
        <x:v>Passed</x:v>
      </x:c>
      <x:c r="F50" s="615" t="str">
        <x:v>Pending</x:v>
      </x:c>
      <x:c r="G50" s="615" t="str">
        <x:v>Passed Local</x:v>
      </x:c>
      <x:c r="H50" s="615" t="str">
        <x:v>Not Deployed</x:v>
      </x:c>
      <x:c r="I50" s="615" t="str">
        <x:v>Deferred</x:v>
      </x:c>
      <x:c r="J50" s="618" t="n">
        <x:v>46215</x:v>
      </x:c>
      <x:c r="K50" s="615" t="str">
        <x:v>Risk Engine</x:v>
      </x:c>
      <x:c r="L50" s="615" t="str">
        <x:v>SEC-2026-0712-013</x:v>
      </x:c>
      <x:c r="M50" s="615"/>
      <x:c r="N50" s="615" t="str">
        <x:v>Low/P3 fixed locally with regression and original-path proof. The item remains post-gate Deferred until the deployment/read-back cycle.</x:v>
      </x:c>
    </x:row>
    <x:row r="51">
      <x:c r="A51" s="615" t="str">
        <x:v>SEC-2026-0712-014</x:v>
      </x:c>
      <x:c r="B51" s="615" t="str">
        <x:v>News-domain skeleton collisions suppress path-brand warning</x:v>
      </x:c>
      <x:c r="C51" s="615" t="str">
        <x:v>P3</x:v>
      </x:c>
      <x:c r="D51" s="615" t="str">
        <x:v>Fixed Local</x:v>
      </x:c>
      <x:c r="E51" s="615" t="str">
        <x:v>Passed</x:v>
      </x:c>
      <x:c r="F51" s="615" t="str">
        <x:v>Pending</x:v>
      </x:c>
      <x:c r="G51" s="615" t="str">
        <x:v>Passed Local</x:v>
      </x:c>
      <x:c r="H51" s="615" t="str">
        <x:v>Not Deployed</x:v>
      </x:c>
      <x:c r="I51" s="615" t="str">
        <x:v>Deferred</x:v>
      </x:c>
      <x:c r="J51" s="618" t="n">
        <x:v>46215</x:v>
      </x:c>
      <x:c r="K51" s="615" t="str">
        <x:v>Risk Engine</x:v>
      </x:c>
      <x:c r="L51" s="615" t="str">
        <x:v>SEC-2026-0712-014</x:v>
      </x:c>
      <x:c r="M51" s="615"/>
      <x:c r="N51" s="615" t="str">
        <x:v>Low/P3 fixed locally with regression and original-path proof. The item remains post-gate Deferred until the deployment/read-back cycle.</x:v>
      </x:c>
    </x:row>
    <x:row r="52">
      <x:c r="A52" s="615" t="str">
        <x:v>SEC-2026-0712-015</x:v>
      </x:c>
      <x:c r="B52" s="615" t="str">
        <x:v>Passport request can be answered as stale Safe follow-up</x:v>
      </x:c>
      <x:c r="C52" s="615" t="str">
        <x:v>P3</x:v>
      </x:c>
      <x:c r="D52" s="615" t="str">
        <x:v>Fixed Local</x:v>
      </x:c>
      <x:c r="E52" s="615" t="str">
        <x:v>Passed</x:v>
      </x:c>
      <x:c r="F52" s="615" t="str">
        <x:v>Pending</x:v>
      </x:c>
      <x:c r="G52" s="615" t="str">
        <x:v>Passed Local</x:v>
      </x:c>
      <x:c r="H52" s="615" t="str">
        <x:v>Not Deployed</x:v>
      </x:c>
      <x:c r="I52" s="615" t="str">
        <x:v>Deferred</x:v>
      </x:c>
      <x:c r="J52" s="618" t="n">
        <x:v>46215</x:v>
      </x:c>
      <x:c r="K52" s="615" t="str">
        <x:v>Telegram / Product</x:v>
      </x:c>
      <x:c r="L52" s="615" t="str">
        <x:v>SEC-2026-0712-015</x:v>
      </x:c>
      <x:c r="M52" s="615"/>
      <x:c r="N52" s="615" t="str">
        <x:v>Low/P3 fixed locally with regression and original-path proof. The item remains post-gate Deferred until the deployment/read-back cycle.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62" priority="8" operator="containsText" text="Passed"/>
    <x:cfRule type="containsText" dxfId="463" priority="9" operator="containsText" text="Fixed Local"/>
    <x:cfRule type="containsText" dxfId="464" priority="10" operator="containsText" text="Deployed"/>
    <x:cfRule type="containsText" dxfId="465" priority="11" operator="containsText" text="Closed"/>
    <x:cfRule type="containsText" dxfId="466" priority="12" operator="containsText" text="Blocked"/>
    <x:cfRule type="containsText" dxfId="467" priority="13" operator="containsText" text="Open"/>
    <x:cfRule type="containsText" dxfId="468" priority="14" operator="containsText" text="In Progress"/>
  </x:conditionalFormatting>
  <x:conditionalFormatting sqref="D2:I52">
    <x:cfRule type="containsText" dxfId="560" priority="15" operator="containsText" text="Passed"/>
    <x:cfRule type="containsText" dxfId="561" priority="16" operator="containsText" text="Closed"/>
    <x:cfRule type="containsText" dxfId="562" priority="17" operator="containsText" text="Deployed"/>
    <x:cfRule type="containsText" dxfId="563" priority="18" operator="containsText" text="Blocked"/>
    <x:cfRule type="containsText" dxfId="564" priority="19" operator="containsText" text="Open"/>
    <x:cfRule type="containsText" dxfId="565" priority="20" operator="containsText" text="In Progress"/>
    <x:cfRule type="containsText" dxfId="566" priority="21" operator="containsText" text="Deferred"/>
  </x:conditionalFormatting>
  <x:dataValidations count="20">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 type="list" sqref="C38:C52">
      <x:formula1>"P0,P1,P2,P3"</x:formula1>
    </x:dataValidation>
    <x:dataValidation type="list" sqref="D38:D52">
      <x:formula1>"Not Started,In Progress,Fixed Local,Implemented,N/A"</x:formula1>
    </x:dataValidation>
    <x:dataValidation type="list" sqref="E38:F52">
      <x:formula1>"Pending,Passed,N/A"</x:formula1>
    </x:dataValidation>
    <x:dataValidation type="list" sqref="G38:G52">
      <x:formula1>"Pending,Passed Local,Passed,N/A"</x:formula1>
    </x:dataValidation>
    <x:dataValidation type="list" sqref="H38:H52">
      <x:formula1>"Not Deployed,Pending,Deployed,N/A"</x:formula1>
    </x:dataValidation>
    <x:dataValidation type="list" sqref="I38:I52">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200" t="str">
        <x:v>Finding ID</x:v>
      </x:c>
      <x:c r="B1" s="1201" t="str">
        <x:v>Priority</x:v>
      </x:c>
      <x:c r="C1" s="1201" t="str">
        <x:v>Area</x:v>
      </x:c>
      <x:c r="D1" s="1201" t="str">
        <x:v>Finding</x:v>
      </x:c>
      <x:c r="E1" s="1201" t="str">
        <x:v>Affected Path</x:v>
      </x:c>
      <x:c r="F1" s="1201" t="str">
        <x:v>Current Status</x:v>
      </x:c>
      <x:c r="G1" s="1201" t="str">
        <x:v>Owner</x:v>
      </x:c>
      <x:c r="H1" s="1201" t="str">
        <x:v>Gate</x:v>
      </x:c>
      <x:c r="I1" s="1201" t="str">
        <x:v>Evidence</x:v>
      </x:c>
      <x:c r="J1" s="1201" t="str">
        <x:v>Next Step</x:v>
      </x:c>
      <x:c r="K1" s="1201" t="str">
        <x:v>Acceptance Criteria</x:v>
      </x:c>
      <x:c r="L1" s="1202"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row r="22">
      <x:c r="A22" s="614" t="str">
        <x:v>SEC-2026-0712-001</x:v>
      </x:c>
      <x:c r="B22" s="614" t="str">
        <x:v>P1</x:v>
      </x:c>
      <x:c r="C22" s="614" t="str">
        <x:v>Trust decision</x:v>
      </x:c>
      <x:c r="D22" s="614" t="str">
        <x:v>Embedded official contact tokens can mark unrelated attacker content Safe</x:v>
      </x:c>
      <x:c r="E22" s="614" t="str">
        <x:v>src/lib/risk/check-core.ts:125-143,338-350; src/lib/risk/rules.ts:302-307</x:v>
      </x:c>
      <x:c r="F22" s="614" t="str">
        <x:v>In Progress</x:v>
      </x:c>
      <x:c r="G22" s="614" t="str">
        <x:v>Risk Engine</x:v>
      </x:c>
      <x:c r="H22" s="614" t="str">
        <x:v>Gate 0</x:v>
      </x:c>
      <x:c r="I22" s="614" t="str">
        <x:v>High/P1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outputs/security_revalidation_2026-07-12/findings/verified-contact-risk-override.</x:v>
      </x:c>
      <x:c r="J22" s="614" t="str">
        <x:v>Commit/CI/deploy the exact patch, run the stated targeted acceptance and collect read-back evidence before changing to Deployed/Closed.</x:v>
      </x:c>
      <x:c r="K22" s="614" t="str">
        <x:v>Unrelated content cannot become Safe because it merely contains an official token.</x:v>
      </x:c>
      <x:c r="L22" s="617" t="n">
        <x:v>46215</x:v>
      </x:c>
    </x:row>
    <x:row r="23">
      <x:c r="A23" s="615" t="str">
        <x:v>SEC-2026-0712-002</x:v>
      </x:c>
      <x:c r="B23" s="615" t="str">
        <x:v>P2</x:v>
      </x:c>
      <x:c r="C23" s="615" t="str">
        <x:v>Report privacy</x:v>
      </x:c>
      <x:c r="D23" s="615" t="str">
        <x:v>Public reports retain passwords, separated OTPs and recovery phrases</x:v>
      </x:c>
      <x:c r="E23" s="615" t="str">
        <x:v>src/lib/risk/detect.ts; src/lib/report.functions.ts</x:v>
      </x:c>
      <x:c r="F23" s="615" t="str">
        <x:v>In Progress</x:v>
      </x:c>
      <x:c r="G23" s="615" t="str">
        <x:v>Privacy / Backend</x:v>
      </x:c>
      <x:c r="H23" s="615" t="str">
        <x:v>Gate 1</x:v>
      </x:c>
      <x:c r="I23"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outputs/security_revalidation_2026-07-12/findings/shared-redaction-secret-leak.</x:v>
      </x:c>
      <x:c r="J23" s="615" t="str">
        <x:v>Commit/CI/deploy the exact patch, run the stated targeted acceptance and collect read-back evidence before changing to Deployed/Closed. Run a count-only historical privacy review without logging matched values.</x:v>
      </x:c>
      <x:c r="K23" s="615" t="str">
        <x:v>Complete reports/entities insert payload contains no supported secret marker.</x:v>
      </x:c>
      <x:c r="L23" s="618" t="n">
        <x:v>46215</x:v>
      </x:c>
    </x:row>
    <x:row r="24">
      <x:c r="A24" s="615" t="str">
        <x:v>SEC-2026-0712-003</x:v>
      </x:c>
      <x:c r="B24" s="615" t="str">
        <x:v>P2</x:v>
      </x:c>
      <x:c r="C24" s="615" t="str">
        <x:v>Appeal privacy</x:v>
      </x:c>
      <x:c r="D24" s="615" t="str">
        <x:v>Appeal reason/contact fields can retain secrets</x:v>
      </x:c>
      <x:c r="E24" s="615" t="str">
        <x:v>src/lib/reputation-appeal.functions.ts; src/lib/risk/detect.ts</x:v>
      </x:c>
      <x:c r="F24" s="615" t="str">
        <x:v>In Progress</x:v>
      </x:c>
      <x:c r="G24" s="615" t="str">
        <x:v>Privacy / Backend</x:v>
      </x:c>
      <x:c r="H24" s="615" t="str">
        <x:v>Gate 1</x:v>
      </x:c>
      <x:c r="I24"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outputs/security_revalidation_2026-07-12/findings/appeal-secret-persistence.</x:v>
      </x:c>
      <x:c r="J24" s="615" t="str">
        <x:v>Commit/CI/deploy the exact patch, run the stated targeted acceptance and collect read-back evidence before changing to Deployed/Closed. Run a count-only historical privacy review without logging matched values.</x:v>
      </x:c>
      <x:c r="K24" s="615" t="str">
        <x:v>No secret marker reaches reason or contact_display; generic unsafe contact is rejected.</x:v>
      </x:c>
      <x:c r="L24" s="618" t="n">
        <x:v>46215</x:v>
      </x:c>
    </x:row>
    <x:row r="25">
      <x:c r="A25" s="615" t="str">
        <x:v>SEC-2026-0712-004</x:v>
      </x:c>
      <x:c r="B25" s="615" t="str">
        <x:v>P2</x:v>
      </x:c>
      <x:c r="C25" s="615" t="str">
        <x:v>QR privacy</x:v>
      </x:c>
      <x:c r="D25" s="615" t="str">
        <x:v>Decoded QR credentials can be retained in check records</x:v>
      </x:c>
      <x:c r="E25" s="615" t="str">
        <x:v>src/lib/risk/qr-decoder.ts; image-intelligence.ts; check-core.ts</x:v>
      </x:c>
      <x:c r="F25" s="615" t="str">
        <x:v>In Progress</x:v>
      </x:c>
      <x:c r="G25" s="615" t="str">
        <x:v>Media / Privacy</x:v>
      </x:c>
      <x:c r="H25" s="615" t="str">
        <x:v>Gate 1</x:v>
      </x:c>
      <x:c r="I25"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outputs/security_revalidation_2026-07-12/findings/qr-secret-check-persistence.</x:v>
      </x:c>
      <x:c r="J25" s="615" t="str">
        <x:v>Commit/CI/deploy the exact patch, run the stated targeted acceptance and collect read-back evidence before changing to Deployed/Closed. Run a count-only historical privacy review without logging matched values.</x:v>
      </x:c>
      <x:c r="K25" s="615" t="str">
        <x:v>Wi-Fi passwords, otpauth secrets and mnemonic candidates never enter redacted_input.</x:v>
      </x:c>
      <x:c r="L25" s="618" t="n">
        <x:v>46215</x:v>
      </x:c>
    </x:row>
    <x:row r="26">
      <x:c r="A26" s="615" t="str">
        <x:v>SEC-2026-0712-005</x:v>
      </x:c>
      <x:c r="B26" s="615" t="str">
        <x:v>P2</x:v>
      </x:c>
      <x:c r="C26" s="615" t="str">
        <x:v>Telegram Inline privacy</x:v>
      </x:c>
      <x:c r="D26" s="615" t="str">
        <x:v>Inline results can republish secrets into selected chats</x:v>
      </x:c>
      <x:c r="E26" s="615" t="str">
        <x:v>src/lib/telegram/handlers/inline.ts; src/lib/risk/detect.ts</x:v>
      </x:c>
      <x:c r="F26" s="615" t="str">
        <x:v>In Progress</x:v>
      </x:c>
      <x:c r="G26" s="615" t="str">
        <x:v>Telegram / Privacy</x:v>
      </x:c>
      <x:c r="H26" s="615" t="str">
        <x:v>Gate 1</x:v>
      </x:c>
      <x:c r="I26"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outputs/security_revalidation_2026-07-12/findings/telegram-inline-secret-republication.</x:v>
      </x:c>
      <x:c r="J26" s="615" t="str">
        <x:v>Commit/CI/deploy the exact patch, run the stated targeted acceptance and collect read-back evidence before changing to Deployed/Closed. Run a count-only historical privacy review without logging matched values.</x:v>
      </x:c>
      <x:c r="K26" s="615" t="str">
        <x:v>No supported secret marker appears in any Inline article field on real clients.</x:v>
      </x:c>
      <x:c r="L26" s="618" t="n">
        <x:v>46215</x:v>
      </x:c>
    </x:row>
    <x:row r="27">
      <x:c r="A27" s="615" t="str">
        <x:v>SEC-2026-0712-006</x:v>
      </x:c>
      <x:c r="B27" s="615" t="str">
        <x:v>P3</x:v>
      </x:c>
      <x:c r="C27" s="615" t="str">
        <x:v>Public-post privacy</x:v>
      </x:c>
      <x:c r="D27" s="615" t="str">
        <x:v>Public-post checks can retain passwords and recovery phrases</x:v>
      </x:c>
      <x:c r="E27" s="615" t="str">
        <x:v>src/lib/telegram/public-post.server.ts; src/lib/risk/check-core.ts</x:v>
      </x:c>
      <x:c r="F27" s="615" t="str">
        <x:v>In Progress</x:v>
      </x:c>
      <x:c r="G27" s="615" t="str">
        <x:v>Telegram / Privacy</x:v>
      </x:c>
      <x:c r="H27" s="615" t="str">
        <x:v>Post-gate</x:v>
      </x:c>
      <x:c r="I27" s="615" t="str">
        <x:v>Low/P3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outputs/security_revalidation_2026-07-12/findings/public-post-secret-persistence.</x:v>
      </x:c>
      <x:c r="J27" s="615" t="str">
        <x:v>Commit/CI/deploy the exact patch, run the stated targeted acceptance and collect read-back evidence before changing to Deployed/Closed. Run a count-only historical privacy review without logging matched values.</x:v>
      </x:c>
      <x:c r="K27" s="615" t="str">
        <x:v>Mocked check insert contains no secret marker from public-post fixtures.</x:v>
      </x:c>
      <x:c r="L27" s="618" t="n">
        <x:v>46215</x:v>
      </x:c>
    </x:row>
    <x:row r="28">
      <x:c r="A28" s="615" t="str">
        <x:v>SEC-2026-0712-007</x:v>
      </x:c>
      <x:c r="B28" s="615" t="str">
        <x:v>P3</x:v>
      </x:c>
      <x:c r="C28" s="615" t="str">
        <x:v>Moderation privacy</x:v>
      </x:c>
      <x:c r="D28" s="615" t="str">
        <x:v>Report metadata can forward secrets to moderator Telegram</x:v>
      </x:c>
      <x:c r="E28" s="615" t="str">
        <x:v>src/lib/report.functions.ts; moderation-notifier.server.ts</x:v>
      </x:c>
      <x:c r="F28" s="615" t="str">
        <x:v>In Progress</x:v>
      </x:c>
      <x:c r="G28" s="615" t="str">
        <x:v>Telegram / Moderation</x:v>
      </x:c>
      <x:c r="H28" s="615" t="str">
        <x:v>Post-gate</x:v>
      </x:c>
      <x:c r="I28" s="615" t="str">
        <x:v>Low/P3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outputs/security_revalidation_2026-07-12/findings/moderation-notifier-secret-delivery.</x:v>
      </x:c>
      <x:c r="J28" s="615" t="str">
        <x:v>Commit/CI/deploy the exact patch, run the stated targeted acceptance and collect read-back evidence before changing to Deployed/Closed. Run a count-only historical privacy review without logging matched values.</x:v>
      </x:c>
      <x:c r="K28" s="615" t="str">
        <x:v>Markdown and plaintext notification payloads contain no secret marker.</x:v>
      </x:c>
      <x:c r="L28" s="618" t="n">
        <x:v>46215</x:v>
      </x:c>
    </x:row>
    <x:row r="29">
      <x:c r="A29" s="615" t="str">
        <x:v>SEC-2026-0712-008</x:v>
      </x:c>
      <x:c r="B29" s="615" t="str">
        <x:v>P2</x:v>
      </x:c>
      <x:c r="C29" s="615" t="str">
        <x:v>Admin authorization</x:v>
      </x:c>
      <x:c r="D29" s="615" t="str">
        <x:v>Removed admin eligibility is not revoked from durable roles</x:v>
      </x:c>
      <x:c r="E29" s="615" t="str">
        <x:v>supabase/migrations/20260629085533_*; src/lib/admin.functions.ts</x:v>
      </x:c>
      <x:c r="F29" s="615" t="str">
        <x:v>In Progress</x:v>
      </x:c>
      <x:c r="G29" s="615" t="str">
        <x:v>Data / Security</x:v>
      </x:c>
      <x:c r="H29" s="615" t="str">
        <x:v>Gate 1</x:v>
      </x:c>
      <x:c r="I29"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outputs/security_revalidation_2026-07-12/findings/stale-admin-role-entitlement.</x:v>
      </x:c>
      <x:c r="J29" s="615" t="str">
        <x:v>Commit/CI/deploy the exact patch, run the stated targeted acceptance and collect read-back evidence before changing to Deployed/Closed.</x:v>
      </x:c>
      <x:c r="K29" s="615" t="str">
        <x:v>Allowlist delete, email drift and confirmation loss immediately deny existing sessions.</x:v>
      </x:c>
      <x:c r="L29" s="618" t="n">
        <x:v>46215</x:v>
      </x:c>
    </x:row>
    <x:row r="30">
      <x:c r="A30" s="615" t="str">
        <x:v>SEC-2026-0712-009</x:v>
      </x:c>
      <x:c r="B30" s="615" t="str">
        <x:v>P2</x:v>
      </x:c>
      <x:c r="C30" s="615" t="str">
        <x:v>Embed availability</x:v>
      </x:c>
      <x:c r="D30" s="615" t="str">
        <x:v>Embed meta-intents bypass shared limit and append telemetry</x:v>
      </x:c>
      <x:c r="E30" s="615" t="str">
        <x:v>src/lib/check.functions.ts; embed-origin-analytics.server.ts</x:v>
      </x:c>
      <x:c r="F30" s="615" t="str">
        <x:v>In Progress</x:v>
      </x:c>
      <x:c r="G30" s="615" t="str">
        <x:v>Backend / Data</x:v>
      </x:c>
      <x:c r="H30" s="615" t="str">
        <x:v>Gate 1</x:v>
      </x:c>
      <x:c r="I30"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outputs/security_revalidation_2026-07-12/findings/embed-meta-intent-telemetry-amplification.</x:v>
      </x:c>
      <x:c r="J30" s="615" t="str">
        <x:v>Commit/CI/deploy the exact patch, run the stated targeted acceptance and collect read-back evidence before changing to Deployed/Closed.</x:v>
      </x:c>
      <x:c r="K30" s="615" t="str">
        <x:v>Denied request performs zero analytics inserts; production storage failure fails closed.</x:v>
      </x:c>
      <x:c r="L30" s="618" t="n">
        <x:v>46215</x:v>
      </x:c>
    </x:row>
    <x:row r="31">
      <x:c r="A31" s="615" t="str">
        <x:v>SEC-2026-0712-010</x:v>
      </x:c>
      <x:c r="B31" s="615" t="str">
        <x:v>P2</x:v>
      </x:c>
      <x:c r="C31" s="615" t="str">
        <x:v>CI supply chain</x:v>
      </x:c>
      <x:c r="D31" s="615" t="str">
        <x:v>Production-monitor secrets are visible to mutable setup code</x:v>
      </x:c>
      <x:c r="E31" s="615" t="str">
        <x:v>.github/workflows/prod-monitor.yml</x:v>
      </x:c>
      <x:c r="F31" s="615" t="str">
        <x:v>In Progress</x:v>
      </x:c>
      <x:c r="G31" s="615" t="str">
        <x:v>DevOps / Security</x:v>
      </x:c>
      <x:c r="H31" s="615" t="str">
        <x:v>Gate 1</x:v>
      </x:c>
      <x:c r="I31"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outputs/security_revalidation_2026-07-12/findings/production-monitor-secret-scope.</x:v>
      </x:c>
      <x:c r="J31" s="615" t="str">
        <x:v>Commit/CI/deploy the exact patch, run the stated targeted acceptance and collect read-back evidence before changing to Deployed/Closed.</x:v>
      </x:c>
      <x:c r="K31" s="615" t="str">
        <x:v>Policy rejects job-scoped secrets, non-SHA actions and pre-secret install hooks.</x:v>
      </x:c>
      <x:c r="L31" s="618" t="n">
        <x:v>46215</x:v>
      </x:c>
    </x:row>
    <x:row r="32">
      <x:c r="A32" s="615" t="str">
        <x:v>SEC-2026-0712-011</x:v>
      </x:c>
      <x:c r="B32" s="615" t="str">
        <x:v>P2</x:v>
      </x:c>
      <x:c r="C32" s="615" t="str">
        <x:v>Telegram availability</x:v>
      </x:c>
      <x:c r="D32" s="615" t="str">
        <x:v>Report images download before shared media admission</x:v>
      </x:c>
      <x:c r="E32" s="615" t="str">
        <x:v>src/lib/telegram/handlers/report.ts; handlers/check.ts</x:v>
      </x:c>
      <x:c r="F32" s="615" t="str">
        <x:v>In Progress</x:v>
      </x:c>
      <x:c r="G32" s="615" t="str">
        <x:v>Telegram / Platform</x:v>
      </x:c>
      <x:c r="H32" s="615" t="str">
        <x:v>Gate 1</x:v>
      </x:c>
      <x:c r="I32"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outputs/security_revalidation_2026-07-12/findings/telegram-report-image-prelimit-download.</x:v>
      </x:c>
      <x:c r="J32" s="615" t="str">
        <x:v>Commit/CI/deploy the exact patch, run the stated targeted acceptance and collect read-back evidence before changing to Deployed/Closed.</x:v>
      </x:c>
      <x:c r="K32" s="615" t="str">
        <x:v>Rate-limited report image makes zero getFile/download calls under concurrency.</x:v>
      </x:c>
      <x:c r="L32" s="618" t="n">
        <x:v>46215</x:v>
      </x:c>
    </x:row>
    <x:row r="33">
      <x:c r="A33" s="615" t="str">
        <x:v>SEC-2026-0712-012</x:v>
      </x:c>
      <x:c r="B33" s="615" t="str">
        <x:v>P2</x:v>
      </x:c>
      <x:c r="C33" s="615" t="str">
        <x:v>Image evidence trust</x:v>
      </x:c>
      <x:c r="D33" s="615" t="str">
        <x:v>Benign provider evidence can omit phishing URL and return Safe</x:v>
      </x:c>
      <x:c r="E33" s="615" t="str">
        <x:v>src/lib/risk/image-intelligence.ts; check-core.ts</x:v>
      </x:c>
      <x:c r="F33" s="615" t="str">
        <x:v>In Progress</x:v>
      </x:c>
      <x:c r="G33" s="615" t="str">
        <x:v>AI / Risk</x:v>
      </x:c>
      <x:c r="H33" s="615" t="str">
        <x:v>Gate 1</x:v>
      </x:c>
      <x:c r="I33" s="615" t="str">
        <x:v>Medium/P2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outputs/security_revalidation_2026-07-12/findings/provider-benign-image-url-omission.</x:v>
      </x:c>
      <x:c r="J33" s="615" t="str">
        <x:v>Commit/CI/deploy the exact patch, run the stated targeted acceptance and collect read-back evidence before changing to Deployed/Closed.</x:v>
      </x:c>
      <x:c r="K33" s="615" t="str">
        <x:v>Benign provider category plus phishing URL cannot return Safe without trusted local proof.</x:v>
      </x:c>
      <x:c r="L33" s="618" t="n">
        <x:v>46215</x:v>
      </x:c>
    </x:row>
    <x:row r="34">
      <x:c r="A34" s="615" t="str">
        <x:v>SEC-2026-0712-013</x:v>
      </x:c>
      <x:c r="B34" s="615" t="str">
        <x:v>P3</x:v>
      </x:c>
      <x:c r="C34" s="615" t="str">
        <x:v>Domain identity</x:v>
      </x:c>
      <x:c r="D34" s="615" t="str">
        <x:v>Official-domain skeleton collisions suppress brand detection</x:v>
      </x:c>
      <x:c r="E34" s="615" t="str">
        <x:v>src/lib/risk/domain-normalizer.ts; brand-matcher.ts</x:v>
      </x:c>
      <x:c r="F34" s="615" t="str">
        <x:v>In Progress</x:v>
      </x:c>
      <x:c r="G34" s="615" t="str">
        <x:v>Risk Engine</x:v>
      </x:c>
      <x:c r="H34" s="615" t="str">
        <x:v>Post-gate</x:v>
      </x:c>
      <x:c r="I34" s="615" t="str">
        <x:v>Low/P3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outputs/security_revalidation_2026-07-12/findings/official-domain-skeleton-collision.</x:v>
      </x:c>
      <x:c r="J34" s="615" t="str">
        <x:v>Commit/CI/deploy the exact patch, run the stated targeted acceptance and collect read-back evidence before changing to Deployed/Closed.</x:v>
      </x:c>
      <x:c r="K34" s="615" t="str">
        <x:v>Confusable hostname cannot inherit official allowlist membership; controls stay valid.</x:v>
      </x:c>
      <x:c r="L34" s="618" t="n">
        <x:v>46215</x:v>
      </x:c>
    </x:row>
    <x:row r="35">
      <x:c r="A35" s="615" t="str">
        <x:v>SEC-2026-0712-014</x:v>
      </x:c>
      <x:c r="B35" s="615" t="str">
        <x:v>P3</x:v>
      </x:c>
      <x:c r="C35" s="615" t="str">
        <x:v>Domain identity</x:v>
      </x:c>
      <x:c r="D35" s="615" t="str">
        <x:v>News-domain skeleton collisions suppress path-brand warning</x:v>
      </x:c>
      <x:c r="E35" s="615" t="str">
        <x:v>src/lib/risk/domain-normalizer.ts; brand-matcher.ts</x:v>
      </x:c>
      <x:c r="F35" s="615" t="str">
        <x:v>In Progress</x:v>
      </x:c>
      <x:c r="G35" s="615" t="str">
        <x:v>Risk Engine</x:v>
      </x:c>
      <x:c r="H35" s="615" t="str">
        <x:v>Post-gate</x:v>
      </x:c>
      <x:c r="I35" s="615" t="str">
        <x:v>Low/P3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outputs/security_revalidation_2026-07-12/findings/news-domain-skeleton-collision.</x:v>
      </x:c>
      <x:c r="J35" s="615" t="str">
        <x:v>Commit/CI/deploy the exact patch, run the stated targeted acceptance and collect read-back evidence before changing to Deployed/Closed.</x:v>
      </x:c>
      <x:c r="K35" s="615" t="str">
        <x:v>sp0t.uz cannot inherit spot.uz suppression; similarity only adds evidence.</x:v>
      </x:c>
      <x:c r="L35" s="618" t="n">
        <x:v>46215</x:v>
      </x:c>
    </x:row>
    <x:row r="36">
      <x:c r="A36" s="615" t="str">
        <x:v>SEC-2026-0712-015</x:v>
      </x:c>
      <x:c r="B36" s="615" t="str">
        <x:v>P3</x:v>
      </x:c>
      <x:c r="C36" s="615" t="str">
        <x:v>Telegram dialogue</x:v>
      </x:c>
      <x:c r="D36" s="615" t="str">
        <x:v>Passport request can be answered as stale Safe follow-up</x:v>
      </x:c>
      <x:c r="E36" s="615" t="str">
        <x:v>src/lib/telegram/check-followup.ts; victim-intent.ts; handlers/check.ts</x:v>
      </x:c>
      <x:c r="F36" s="615" t="str">
        <x:v>In Progress</x:v>
      </x:c>
      <x:c r="G36" s="615" t="str">
        <x:v>Telegram / Product</x:v>
      </x:c>
      <x:c r="H36" s="615" t="str">
        <x:v>Post-gate</x:v>
      </x:c>
      <x:c r="I36" s="615" t="str">
        <x:v>Low/P3 fixed locally on codex/security-revalidation-fixes-20260712. Integration: 4222/4222 tests, TypeScript, lint 0 errors, build, npm audit 0, 28 migrations, pgTAP 38/38, schema lint; original safe PoC or realistic boundary regression no longer reproduces. Count-only production admin preflight: Auth 1, admins 1, eligible 1, stale 0, missing 0. Detailed evidence: outputs/security_revalidation_2026-07-12/findings/telegram-passport-followup-misrouting.</x:v>
      </x:c>
      <x:c r="J36" s="615" t="str">
        <x:v>Commit/CI/deploy the exact patch, run the stated targeted acceptance and collect read-back evidence before changing to Deployed/Closed.</x:v>
      </x:c>
      <x:c r="K36" s="615" t="str">
        <x:v>Passport/document questions never reuse old results; five legitimate follow-ups still pass.</x:v>
      </x:c>
      <x:c r="L36" s="618" t="n">
        <x:v>46215</x:v>
      </x:c>
    </x:row>
  </x:sheetData>
  <x:conditionalFormatting sqref="F2:F21">
    <x:cfRule type="containsText" dxfId="469" priority="1" operator="containsText" text="Passed"/>
    <x:cfRule type="containsText" dxfId="470" priority="2" operator="containsText" text="Fixed Local"/>
    <x:cfRule type="containsText" dxfId="471" priority="3" operator="containsText" text="Deployed"/>
    <x:cfRule type="containsText" dxfId="472" priority="4" operator="containsText" text="Closed"/>
    <x:cfRule type="containsText" dxfId="473" priority="5" operator="containsText" text="Blocked"/>
    <x:cfRule type="containsText" dxfId="474" priority="6" operator="containsText" text="Open"/>
    <x:cfRule type="containsText" dxfId="475" priority="7" operator="containsText" text="In Progress"/>
  </x:conditionalFormatting>
  <x:conditionalFormatting sqref="F2:F36">
    <x:cfRule type="containsText" dxfId="553" priority="8" operator="containsText" text="Passed"/>
    <x:cfRule type="containsText" dxfId="554" priority="9" operator="containsText" text="Closed"/>
    <x:cfRule type="containsText" dxfId="555" priority="10" operator="containsText" text="Deployed"/>
    <x:cfRule type="containsText" dxfId="556" priority="11" operator="containsText" text="Blocked"/>
    <x:cfRule type="containsText" dxfId="557" priority="12" operator="containsText" text="Open"/>
    <x:cfRule type="containsText" dxfId="558" priority="13" operator="containsText" text="In Progress"/>
    <x:cfRule type="containsText" dxfId="559" priority="14" operator="containsText" text="Deferred"/>
  </x:conditionalFormatting>
  <x:dataValidations count="4">
    <x:dataValidation type="list" sqref="B2:B21">
      <x:formula1>"P0,P1,P2"</x:formula1>
    </x:dataValidation>
    <x:dataValidation type="list" sqref="F2:F21">
      <x:formula1>"Open,In Progress,Fixed Local / Awaiting Deploy,Deployed / Awaiting Live Verification,Closed,Accepted Risk"</x:formula1>
    </x:dataValidation>
    <x:dataValidation type="list" sqref="B22:B36">
      <x:formula1>"P0,P1,P2,P3"</x:formula1>
    </x:dataValidation>
    <x:dataValidation type="list" sqref="F22:F36">
      <x:formula1>"Open,In Progress,Fixed Local / Awaiting Deploy,Deployed / Awaiting Live Verification,Closed,Accepted Risk"</x:formula1>
    </x:dataValidation>
  </x:dataValidations>
  <x:pageMargins left="0.7" right="0.7" top="0.75" bottom="0.75" header="0.3" footer="0.3"/>
</x:worksheet>
</file>