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4802942cf441f7" /></Relationships>
</file>

<file path=xl/workbook.xml><?xml version="1.0" encoding="utf-8"?>
<x:workbook xmlns:x="http://schemas.openxmlformats.org/spreadsheetml/2006/main">
  <x:sheets>
    <x:sheet xmlns:r="http://schemas.openxmlformats.org/officeDocument/2006/relationships" name="Status Summary" sheetId="1" r:id="R7146198fbd7646de"/>
    <x:sheet xmlns:r="http://schemas.openxmlformats.org/officeDocument/2006/relationships" name="Tracker" sheetId="2" r:id="Rb18ef2214fdb45e7"/>
    <x:sheet xmlns:r="http://schemas.openxmlformats.org/officeDocument/2006/relationships" name="Security Findings" sheetId="3" r:id="R368baeb6be9046e5"/>
    <x:sheet xmlns:r="http://schemas.openxmlformats.org/officeDocument/2006/relationships" name="Test Queue" sheetId="4" r:id="R521ea297fca94fc5"/>
    <x:sheet xmlns:r="http://schemas.openxmlformats.org/officeDocument/2006/relationships" name="Test Errors" sheetId="5" r:id="Rb26a4ff13bb54aed"/>
    <x:sheet xmlns:r="http://schemas.openxmlformats.org/officeDocument/2006/relationships" name="QA Runs" sheetId="6" r:id="R2c5f1d2c648b4e3f"/>
    <x:sheet xmlns:r="http://schemas.openxmlformats.org/officeDocument/2006/relationships" name="Release Gates" sheetId="7" r:id="R32b6e81362784955"/>
    <x:sheet xmlns:r="http://schemas.openxmlformats.org/officeDocument/2006/relationships" name="Current Security Queue" sheetId="8" r:id="Rb5f91f5f2f2a4fb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7">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cellXfs>
  <x:cellStyles count="1">
    <x:cellStyle name="Normal" xfId="0"/>
  </x:cellStyles>
  <x:dxfs count="581">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patternType="solid">
          <x:bgColor rgb="FFDCFCE7"/>
        </x:patternFill>
      </x:fill>
    </x:dxf>
    <x:dxf>
      <x:font>
        <x:b/>
        <x:color rgb="FF166534"/>
      </x:font>
      <x:fill>
        <x:patternFill patternType="solid">
          <x:bgColor rgb="FFDCFCE7"/>
        </x:patternFill>
      </x:fill>
    </x:dxf>
    <x:dxf>
      <x:font>
        <x:b/>
        <x:color rgb="FF115E59"/>
      </x:font>
      <x:fill>
        <x:patternFill patternType="solid">
          <x:bgColor rgb="FFCCFBF1"/>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4B5563"/>
      </x:font>
      <x:fill>
        <x:patternFill patternType="solid">
          <x:bgColor rgb="FFF3F4F6"/>
        </x:patternFill>
      </x:fill>
    </x:dxf>
    <x:dxf>
      <x:font>
        <x:b/>
        <x:color rgb="FF166534"/>
      </x:font>
      <x:fill>
        <x:patternFill patternType="solid">
          <x:bgColor rgb="FFDCFCE7"/>
        </x:patternFill>
      </x:fill>
    </x:dxf>
    <x:dxf>
      <x:font>
        <x:b/>
        <x:color rgb="FF166534"/>
      </x:font>
      <x:fill>
        <x:patternFill patternType="solid">
          <x:bgColor rgb="FFDCFCE7"/>
        </x:patternFill>
      </x:fill>
    </x:dxf>
    <x:dxf>
      <x:font>
        <x:b/>
        <x:color rgb="FF115E59"/>
      </x:font>
      <x:fill>
        <x:patternFill patternType="solid">
          <x:bgColor rgb="FFCCFBF1"/>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4B5563"/>
      </x:font>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0b191f58b314a6b" /><Relationship Type="http://schemas.openxmlformats.org/officeDocument/2006/relationships/theme" Target="/xl/theme/theme1.xml" Id="R05a980a158db4c63" /><Relationship Type="http://schemas.openxmlformats.org/officeDocument/2006/relationships/sharedStrings" Target="/xl/sharedStrings.xml" Id="Re53b69e3a45f4248" /><Relationship Type="http://schemas.openxmlformats.org/officeDocument/2006/relationships/worksheet" Target="/xl/worksheets/sheet1.xml" Id="R7146198fbd7646de" /><Relationship Type="http://schemas.openxmlformats.org/officeDocument/2006/relationships/worksheet" Target="/xl/worksheets/sheet2.xml" Id="Rb18ef2214fdb45e7" /><Relationship Type="http://schemas.openxmlformats.org/officeDocument/2006/relationships/worksheet" Target="/xl/worksheets/sheet3.xml" Id="R368baeb6be9046e5" /><Relationship Type="http://schemas.openxmlformats.org/officeDocument/2006/relationships/worksheet" Target="/xl/worksheets/sheet4.xml" Id="R521ea297fca94fc5" /><Relationship Type="http://schemas.openxmlformats.org/officeDocument/2006/relationships/worksheet" Target="/xl/worksheets/sheet5.xml" Id="Rb26a4ff13bb54aed" /><Relationship Type="http://schemas.openxmlformats.org/officeDocument/2006/relationships/worksheet" Target="/xl/worksheets/sheet6.xml" Id="R2c5f1d2c648b4e3f" /><Relationship Type="http://schemas.openxmlformats.org/officeDocument/2006/relationships/worksheet" Target="/xl/worksheets/sheet7.xml" Id="R32b6e81362784955" /><Relationship Type="http://schemas.openxmlformats.org/officeDocument/2006/relationships/worksheet" Target="/xl/worksheets/sheet8.xml" Id="Rb5f91f5f2f2a4fb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72" customHeight="1">
      <x:c r="A2" s="1218" t="n">
        <x:v>46215</x:v>
      </x:c>
      <x:c r="B2" s="1219" t="n">
        <x:f>COUNTA('Tracker'!$A$2:$A$200)</x:f>
        <x:v>73</x:v>
      </x:c>
      <x:c r="C2" s="1219" t="n">
        <x:f>COUNTA('Current Security Queue'!$A$2:$A$200)</x:f>
        <x:v>35</x:v>
      </x:c>
      <x:c r="D2" s="1219" t="str">
        <x:v>All 15 validated findings are fixed in code. Fourteen are deployed at 5c6094add5dee66045adf445fe15e566405c55da and remain Deployed / Awaiting Live Verification; SEC-2026-0712-008 remains In Progress until the production Supabase migration is authorized, applied and read back. Next: historical count-only privacy review, real-client RU/UZ/EN Inline evidence, finding-specific acceptance and a 72-hour canary.</x:v>
      </x:c>
      <x:c r="E2" s="1219" t="str">
        <x:v>Evidence: 4227/4227 tests, TypeScript, lint (0 errors/8 existing warnings), production build, npm audit 0, 28-migration reset, pgTAP 38/38, schema lint, PR #83 CI, Railway eb7a6364-f9da-4ca2-a017-1f6102e50c0f, app/polling/Inline-boundary/dialogue smokes with cleanup and monitor 29203622435. Count-only admin preflight: Auth 1, admins 1, eligible 1, stale 0, missing 0. Canonical source and evidence copy are synchronized.</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30</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20</x:v>
      </x:c>
      <x:c r="C23" s="629" t="str">
        <x:v>Required evidence or work is missing.</x:v>
      </x:c>
      <x:c r="D23" s="629"/>
      <x:c r="E23" s="629"/>
    </x:row>
    <x:row r="24" ht="22" customHeight="1">
      <x:c r="A24" s="629" t="str">
        <x:v>In Progress</x:v>
      </x:c>
      <x:c r="B24" s="629" t="n">
        <x:f>COUNTIF('Release Gates'!$I$2:$I$200,A24)</x:f>
        <x:v>15</x:v>
      </x:c>
      <x:c r="C24" s="629" t="str">
        <x:v>Work started but gate is not complete.</x:v>
      </x:c>
      <x:c r="D24" s="629"/>
      <x:c r="E24" s="629"/>
    </x:row>
    <x:row r="25" ht="22" customHeight="1">
      <x:c r="A25" s="629" t="str">
        <x:v>Passed</x:v>
      </x:c>
      <x:c r="B25" s="629" t="n">
        <x:f>COUNTIF('Release Gates'!$I$2:$I$200,A25)</x:f>
        <x:v>11</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npx tsc --noEmit; npm run lint; npm run build; npm audit --audit-level=low; CI app + migrations/schema/pgTAP; Railway exact-SHA deploy; prod:smoke; prod:telegram-inline-smoke; prod:telegram-polling-dispatch-smoke; GitHub production monitor; production admin-role count-only preflight</x:v>
      </x:c>
      <x:c r="E97" t="str">
        <x:v>Passed: 4227/4227 tests; TypeScript; lint 0 errors/8 existing warnings; build; npm audit 0; 28 migrations; pgTAP 38/38; schema lint; exact deployment 5c6094a / eb7a6364; app/health/webhook/polling/AI/Inline-boundary/dialogue smokes; monitor 29203622435;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46215</x:v>
      </x:c>
      <x:c r="K27" s="615" t="str">
        <x:v>QA Automation</x:v>
      </x:c>
      <x:c r="L27" s="615" t="str"/>
      <x:c r="M27" s="615" t="str"/>
      <x:c r="N27" s="615" t="str">
        <x:v>Deterministic DSL covers 13 follow-up actions x 3 languages x 4 surface variants x 8 contexts = 1248 unique rows; all 238 actual legacy live-matrix rows map to canonical contracts. PR #79 / b4cabb9 is deployed via Railway 37a91c7a; polling monitor and the five-action production dispatch smoke passed. Broader real Telegram-client RU/UZ/EN transcripts remain required; generated rows are not claimed as independent live conversations.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In Progress</x:v>
      </x:c>
      <x:c r="E30" s="615" t="str">
        <x:v>Pending</x:v>
      </x:c>
      <x:c r="F30" s="615" t="str">
        <x:v>Pending</x:v>
      </x:c>
      <x:c r="G30" s="615" t="str">
        <x:v>Pending</x:v>
      </x:c>
      <x:c r="H30" s="615" t="str">
        <x:v>Deployed</x:v>
      </x:c>
      <x:c r="I30" s="615" t="str">
        <x:v>Blocked</x:v>
      </x:c>
      <x:c r="J30" s="618" t="n">
        <x:v>46214</x:v>
      </x:c>
      <x:c r="K30" s="615" t="str">
        <x:v>Telegram / QA</x:v>
      </x:c>
      <x:c r="L30" s="615" t="str">
        <x:v>Telegram Desktop/Android/iOS real-client visual and insertion QA</x:v>
      </x:c>
      <x:c r="M30" s="615" t="str">
        <x:v>INL-P0-01..04</x:v>
      </x:c>
      <x:c r="N30" s="615" t="str">
        <x:v>Backend is deployed at 5c6094add5dee66045adf445fe15e566405c55da. Automated Inline protocol/privacy and polling transport-boundary coverage are green; real-client visual/insertion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In Progress</x:v>
      </x:c>
      <x:c r="E32" s="615" t="str">
        <x:v>Pending</x:v>
      </x:c>
      <x:c r="F32" s="615" t="str">
        <x:v>N/A</x:v>
      </x:c>
      <x:c r="G32" s="615" t="str">
        <x:v>In Progress</x:v>
      </x:c>
      <x:c r="H32" s="615" t="str">
        <x:v>Not Deployed</x:v>
      </x:c>
      <x:c r="I32" s="615" t="str">
        <x:v>Blocked</x:v>
      </x:c>
      <x:c r="J32" s="618" t="n">
        <x:v>46214</x:v>
      </x:c>
      <x:c r="K32" s="615" t="str">
        <x:v>DevOps / Security</x:v>
      </x:c>
      <x:c r="L32" s="615" t="str"/>
      <x:c r="M32" s="615" t="str"/>
      <x:c r="N32" s="615" t="str">
        <x:v>Full lint now passes with 0 errors/8 warnings; typecheck, 2863x2 tests, npm audits and build pass. Coverage/SAST/secret/container gates still require CI evidence; High/Critical blocks release or has an expiry-bound exception.</x:v>
      </x:c>
    </x:row>
    <x:row r="33">
      <x:c r="A33" s="615" t="str">
        <x:v>OPS-002</x:v>
      </x:c>
      <x:c r="B33" s="615" t="str">
        <x:v>SBOM, signing/provenance and immutable dependency pins</x:v>
      </x:c>
      <x:c r="C33" s="615" t="str">
        <x:v>P2</x:v>
      </x:c>
      <x:c r="D33" s="615" t="str">
        <x:v>Not Started</x:v>
      </x:c>
      <x:c r="E33" s="615" t="str">
        <x:v>Pending</x:v>
      </x:c>
      <x:c r="F33" s="615" t="str">
        <x:v>N/A</x:v>
      </x:c>
      <x:c r="G33" s="615" t="str">
        <x:v>Pending</x:v>
      </x:c>
      <x:c r="H33" s="615" t="str">
        <x:v>Not Deployed</x:v>
      </x:c>
      <x:c r="I33" s="615" t="str">
        <x:v>Blocked</x:v>
      </x:c>
      <x:c r="J33" s="618"/>
      <x:c r="K33" s="615" t="str">
        <x:v>DevOps / Security</x:v>
      </x:c>
      <x:c r="L33" s="615" t="str"/>
      <x:c r="M33" s="615" t="str"/>
      <x:c r="N33" s="615" t="str">
        <x:v>Release artifact is bound to commit and immutable dependencies.</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Not Started</x:v>
      </x:c>
      <x:c r="E35" s="615" t="str">
        <x:v>Pending</x:v>
      </x:c>
      <x:c r="F35" s="615" t="str">
        <x:v>Pending</x:v>
      </x:c>
      <x:c r="G35" s="615" t="str">
        <x:v>Pending</x:v>
      </x:c>
      <x:c r="H35" s="615" t="str">
        <x:v>Not Deployed</x:v>
      </x:c>
      <x:c r="I35" s="615" t="str">
        <x:v>Blocked</x:v>
      </x:c>
      <x:c r="J35" s="618"/>
      <x:c r="K35" s="615" t="str">
        <x:v>Product / Legal</x:v>
      </x:c>
      <x:c r="L35" s="615" t="str">
        <x:v>External legal review</x:v>
      </x:c>
      <x:c r="M35" s="615" t="str"/>
      <x:c r="N35" s="615" t="str">
        <x:v>One current approved privacy spec and truthful public copy.</x:v>
      </x:c>
    </x:row>
    <x:row r="36">
      <x:c r="A36" s="615" t="str">
        <x:v>DR-001</x:v>
      </x:c>
      <x:c r="B36" s="615" t="str">
        <x:v>Backup restore, RPO/RTO, rollback and key-rotation drill</x:v>
      </x:c>
      <x:c r="C36" s="615" t="str">
        <x:v>P2</x:v>
      </x:c>
      <x:c r="D36" s="615" t="str">
        <x:v>Not Started</x:v>
      </x:c>
      <x:c r="E36" s="615" t="str">
        <x:v>Pending</x:v>
      </x:c>
      <x:c r="F36" s="615" t="str">
        <x:v>Pending</x:v>
      </x:c>
      <x:c r="G36" s="615" t="str">
        <x:v>Pending</x:v>
      </x:c>
      <x:c r="H36" s="615" t="str">
        <x:v>Not Deployed</x:v>
      </x:c>
      <x:c r="I36" s="615" t="str">
        <x:v>Blocked</x:v>
      </x:c>
      <x:c r="J36" s="618"/>
      <x:c r="K36" s="615" t="str">
        <x:v>DevOps / Data</x:v>
      </x:c>
      <x:c r="L36" s="615" t="str">
        <x:v>Production access</x:v>
      </x:c>
      <x:c r="M36" s="615" t="str"/>
      <x:c r="N36" s="615" t="str">
        <x:v>Restore/rollback/key rotation evidence exists and is current.</x:v>
      </x:c>
    </x:row>
    <x:row r="37">
      <x:c r="A37" s="615" t="str">
        <x:v>RC-001</x:v>
      </x:c>
      <x:c r="B37" s="615" t="str">
        <x:v>RC commit, fresh security scan and 72-hour closed canary</x:v>
      </x:c>
      <x:c r="C37" s="615" t="str">
        <x:v>P1</x:v>
      </x:c>
      <x:c r="D37" s="615" t="str">
        <x:v>Not Started</x:v>
      </x:c>
      <x:c r="E37" s="615" t="str">
        <x:v>Pending</x:v>
      </x:c>
      <x:c r="F37" s="615" t="str">
        <x:v>Pending</x:v>
      </x:c>
      <x:c r="G37" s="615" t="str">
        <x:v>Pending</x:v>
      </x:c>
      <x:c r="H37" s="615" t="str">
        <x:v>Not Deployed</x:v>
      </x:c>
      <x:c r="I37" s="615" t="str">
        <x:v>Blocked</x:v>
      </x:c>
      <x:c r="J37" s="618"/>
      <x:c r="K37" s="615" t="str">
        <x:v>Release Team</x:v>
      </x:c>
      <x:c r="L37" s="615" t="str">
        <x:v>All P0/P1 gates</x:v>
      </x:c>
      <x:c r="M37" s="615" t="str"/>
      <x:c r="N37" s="615" t="str">
        <x:v>Go requires 0 open P0/P1 and fresh production/security/restore evidence.</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574" priority="15" operator="containsText" text="Passed"/>
    <x:cfRule type="containsText" dxfId="575" priority="16" operator="containsText" text="Closed"/>
    <x:cfRule type="containsText" dxfId="576" priority="17" operator="containsText" text="Deployed"/>
    <x:cfRule type="containsText" dxfId="577" priority="18" operator="containsText" text="Blocked"/>
    <x:cfRule type="containsText" dxfId="578" priority="19" operator="containsText" text="Open"/>
    <x:cfRule type="containsText" dxfId="579" priority="20" operator="containsText" text="In Progress"/>
    <x:cfRule type="containsText" dxfId="580"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4227/4227 tests, TypeScript, lint 0 errors, build, npm audit 0, 28 migrations, pgTAP 38/38 and schema lint. Application reconciliation code is deployed at 5c6094add5dee66045adf445fe15e566405c55da / eb7a6364-f9da-4ca2-a017-1f6102e50c0f,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4227/4227 tests, TypeScript, lint 0 errors, build, npm audit 0, 28 migrations, pgTAP 38/38 and schema lint. Fixed application code is deployed at 5c6094add5dee66045adf445fe15e566405c55da / Railway eb7a6364-f9da-4ca2-a017-1f6102e50c0f. PR #83 CI passed both jobs; production app/polling/Inline-boundary/dialogue smokes and GitHub monitor 29203622435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567" priority="8" operator="containsText" text="Passed"/>
    <x:cfRule type="containsText" dxfId="568" priority="9" operator="containsText" text="Closed"/>
    <x:cfRule type="containsText" dxfId="569" priority="10" operator="containsText" text="Deployed"/>
    <x:cfRule type="containsText" dxfId="570" priority="11" operator="containsText" text="Blocked"/>
    <x:cfRule type="containsText" dxfId="571" priority="12" operator="containsText" text="Open"/>
    <x:cfRule type="containsText" dxfId="572" priority="13" operator="containsText" text="In Progress"/>
    <x:cfRule type="containsText" dxfId="573"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