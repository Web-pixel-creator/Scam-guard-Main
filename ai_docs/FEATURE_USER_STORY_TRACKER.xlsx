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2d6e788065a480e" /></Relationships>
</file>

<file path=xl/workbook.xml><?xml version="1.0" encoding="utf-8"?>
<x:workbook xmlns:x="http://schemas.openxmlformats.org/spreadsheetml/2006/main">
  <x:sheets>
    <x:sheet xmlns:r="http://schemas.openxmlformats.org/officeDocument/2006/relationships" name="Status Summary" sheetId="1" r:id="Rfaf73d77a0554f14"/>
    <x:sheet xmlns:r="http://schemas.openxmlformats.org/officeDocument/2006/relationships" name="Tracker" sheetId="2" r:id="Ra04dbe72a96a4d31"/>
    <x:sheet xmlns:r="http://schemas.openxmlformats.org/officeDocument/2006/relationships" name="Security Findings" sheetId="3" r:id="R508f37af59404867"/>
    <x:sheet xmlns:r="http://schemas.openxmlformats.org/officeDocument/2006/relationships" name="Test Queue" sheetId="4" r:id="R12e49900df5343a0"/>
    <x:sheet xmlns:r="http://schemas.openxmlformats.org/officeDocument/2006/relationships" name="Test Errors" sheetId="5" r:id="R00f0f9b68d5144f5"/>
    <x:sheet xmlns:r="http://schemas.openxmlformats.org/officeDocument/2006/relationships" name="QA Runs" sheetId="6" r:id="R32085d1aaa2c4dfb"/>
    <x:sheet xmlns:r="http://schemas.openxmlformats.org/officeDocument/2006/relationships" name="Release Gates" sheetId="7" r:id="R69d39cd45eef4cfe"/>
    <x:sheet xmlns:r="http://schemas.openxmlformats.org/officeDocument/2006/relationships" name="Current Security Queue" sheetId="8" r:id="Rd199101e62144eb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7">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patternType="solid">
          <x:bgColor rgb="FFDCFCE7"/>
        </x:patternFill>
      </x:fill>
    </x:dxf>
    <x:dxf>
      <x:font>
        <x:b/>
        <x:color rgb="FF166534"/>
      </x:font>
      <x:fill>
        <x:patternFill patternType="solid">
          <x:bgColor rgb="FFDCFCE7"/>
        </x:patternFill>
      </x:fill>
    </x:dxf>
    <x:dxf>
      <x:font>
        <x:b/>
        <x:color rgb="FF115E59"/>
      </x:font>
      <x:fill>
        <x:patternFill patternType="solid">
          <x:bgColor rgb="FFCCFBF1"/>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4B5563"/>
      </x:font>
      <x:fill>
        <x:patternFill patternType="solid">
          <x:bgColor rgb="FFF3F4F6"/>
        </x:patternFill>
      </x:fill>
    </x:dxf>
    <x:dxf>
      <x:font>
        <x:b/>
        <x:color rgb="FF166534"/>
      </x:font>
      <x:fill>
        <x:patternFill patternType="solid">
          <x:bgColor rgb="FFDCFCE7"/>
        </x:patternFill>
      </x:fill>
    </x:dxf>
    <x:dxf>
      <x:font>
        <x:b/>
        <x:color rgb="FF166534"/>
      </x:font>
      <x:fill>
        <x:patternFill patternType="solid">
          <x:bgColor rgb="FFDCFCE7"/>
        </x:patternFill>
      </x:fill>
    </x:dxf>
    <x:dxf>
      <x:font>
        <x:b/>
        <x:color rgb="FF115E59"/>
      </x:font>
      <x:fill>
        <x:patternFill patternType="solid">
          <x:bgColor rgb="FFCCFBF1"/>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4B5563"/>
      </x:font>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72ef2ef784f4d8b" /><Relationship Type="http://schemas.openxmlformats.org/officeDocument/2006/relationships/theme" Target="/xl/theme/theme1.xml" Id="R6fa8a1c2f016457d" /><Relationship Type="http://schemas.openxmlformats.org/officeDocument/2006/relationships/sharedStrings" Target="/xl/sharedStrings.xml" Id="R6e35ebc0c3154b7c" /><Relationship Type="http://schemas.openxmlformats.org/officeDocument/2006/relationships/worksheet" Target="/xl/worksheets/sheet1.xml" Id="Rfaf73d77a0554f14" /><Relationship Type="http://schemas.openxmlformats.org/officeDocument/2006/relationships/worksheet" Target="/xl/worksheets/sheet2.xml" Id="Ra04dbe72a96a4d31" /><Relationship Type="http://schemas.openxmlformats.org/officeDocument/2006/relationships/worksheet" Target="/xl/worksheets/sheet3.xml" Id="R508f37af59404867" /><Relationship Type="http://schemas.openxmlformats.org/officeDocument/2006/relationships/worksheet" Target="/xl/worksheets/sheet4.xml" Id="R12e49900df5343a0" /><Relationship Type="http://schemas.openxmlformats.org/officeDocument/2006/relationships/worksheet" Target="/xl/worksheets/sheet5.xml" Id="R00f0f9b68d5144f5" /><Relationship Type="http://schemas.openxmlformats.org/officeDocument/2006/relationships/worksheet" Target="/xl/worksheets/sheet6.xml" Id="R32085d1aaa2c4dfb" /><Relationship Type="http://schemas.openxmlformats.org/officeDocument/2006/relationships/worksheet" Target="/xl/worksheets/sheet7.xml" Id="R69d39cd45eef4cfe" /><Relationship Type="http://schemas.openxmlformats.org/officeDocument/2006/relationships/worksheet" Target="/xl/worksheets/sheet8.xml" Id="Rd199101e62144eb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08" customHeight="1">
      <x:c r="A2" s="1218" t="n">
        <x:v>46215</x:v>
      </x:c>
      <x:c r="B2" s="1219" t="n">
        <x:f>COUNTA('Tracker'!$A$2:$A$200)</x:f>
        <x:v>73</x:v>
      </x:c>
      <x:c r="C2" s="1219" t="n">
        <x:f>COUNTA('Current Security Queue'!$A$2:$A$200)</x:f>
        <x:v>35</x:v>
      </x:c>
      <x:c r="D2" s="1219" t="str">
        <x:v>All 15 validated findings are fixed in code. Fourteen are deployed at 190c82a2a0d7db8f1583c57265afe353e97f3f22 and remain Deployed / Awaiting Live Verification; SEC-2026-0712-008 remains In Progress until the production Supabase migration is authorized, applied and read back. Automated release gates, the 1872-row bot corpus and production smokes are green. Next: real-client RU/UZ/EN + Inline evidence, authorized data drills, legal approval and a 72-hour canary.</x:v>
      </x:c>
      <x:c r="E2" s="1219" t="str">
        <x:v>Evidence: 4867/4867 tests; coverage 82.85/76.99/89.29/84.71; TypeScript; lint 0 errors/8 existing warnings; build; npm audit 0; CodeQL; Gitleaks; Trivy 0 fixed High/Critical; CycloneDX 1.6 SBOM; 28 migrations; pgTAP 38/38; schema lint; CI 29204994706/29204994736; Railway be7d6f8d-f06d-459b-b438-ef8924454c4e; app/polling/Inline-boundary/dialogue smokes with cleanup; monitor 29205158630. Count-only admin preflight: Auth 1, admins 1, eligible 1, stale 0, missing 0.</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30</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18</x:v>
      </x:c>
      <x:c r="C23" s="629" t="str">
        <x:v>Required evidence or work is missing.</x:v>
      </x:c>
      <x:c r="D23" s="629"/>
      <x:c r="E23" s="629"/>
    </x:row>
    <x:row r="24" ht="22" customHeight="1">
      <x:c r="A24" s="629" t="str">
        <x:v>In Progress</x:v>
      </x:c>
      <x:c r="B24" s="629" t="n">
        <x:f>COUNTIF('Release Gates'!$I$2:$I$200,A24)</x:f>
        <x:v>16</x:v>
      </x:c>
      <x:c r="C24" s="629" t="str">
        <x:v>Work started but gate is not complete.</x:v>
      </x:c>
      <x:c r="D24" s="629"/>
      <x:c r="E24" s="629"/>
    </x:row>
    <x:row r="25" ht="22" customHeight="1">
      <x:c r="A25" s="629" t="str">
        <x:v>Passed</x:v>
      </x:c>
      <x:c r="B25" s="629" t="n">
        <x:f>COUNTIF('Release Gates'!$I$2:$I$200,A25)</x:f>
        <x:v>12</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46215</x:v>
      </x:c>
      <x:c r="K27" s="615" t="str">
        <x:v>QA Automation</x:v>
      </x:c>
      <x:c r="L27" s="615" t="str">
        <x:v>Real Telegram Desktop/Android/iOS RU/UZ/EN reply-to-bot matrix</x:v>
      </x:c>
      <x:c r="M27" s="615" t="str"/>
      <x:c r="N27" s="615" t="str">
        <x:v>The deterministic DSL now covers 13 actions x 3 languages x 6 reviewed surface variants x 8 contexts = 1872 unique rows. All 78 normalized reply-to-bot/typo phrases have exhaustive handler tests forbidding cold checks, session writes and trusted-contact side effects. PR #84 CI 29204994706, Railway be7d6f8d-f06d-459b-b438-ef8924454c4e, polling dispatch and cleanup passed. Broad real-client RU/UZ/EN transcripts remain required.</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46215</x:v>
      </x:c>
      <x:c r="K30" s="615" t="str">
        <x:v>Telegram / QA</x:v>
      </x:c>
      <x:c r="L30" s="615" t="str">
        <x:v>Telegram Desktop/Android/iOS real-client visual and insertion QA</x:v>
      </x:c>
      <x:c r="M30" s="615" t="str">
        <x:v>INL-P0-01..04</x:v>
      </x:c>
      <x:c r="N30" s="615" t="str">
        <x:v>Backend/protocol/privacy/polling-boundary automation is green at 190c82a2a0d7db8f1583c57265afe353e97f3f22; synthetic Inline smokes persist no checks or sessions. Real-client rendering, insert-result, length, error and timeout evidence remains the blocker.</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4867/4867 tests, coverage thresholds, TypeScript, lint 0 errors, build, npm audit 0, CodeQL, Gitleaks, Trivy 0 fixed High/Critical, CycloneDX SBOM, 28 migrations, pgTAP 38/38 and schema lint. Application reconciliation code is deployed at 190c82a2a0d7db8f1583c57265afe353e97f3f22 / be7d6f8d-f06d-459b-b438-ef8924454c4e,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